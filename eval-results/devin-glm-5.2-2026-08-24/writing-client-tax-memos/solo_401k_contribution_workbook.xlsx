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Contribution Model" sheetId="2" state="visible" r:id="rId2"/>
    <sheet xmlns:r="http://schemas.openxmlformats.org/officeDocument/2006/relationships" name="Deadlines" sheetId="3" state="visible" r:id="rId3"/>
    <sheet xmlns:r="http://schemas.openxmlformats.org/officeDocument/2006/relationships" name="Sources &amp; Assump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/>
    <font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E2EFDA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top" wrapText="1"/>
    </xf>
    <xf numFmtId="164" fontId="4" fillId="4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50" customWidth="1" min="3" max="3"/>
  </cols>
  <sheetData>
    <row r="1" ht="26" customHeight="1">
      <c r="A1" s="1" t="inlineStr">
        <is>
          <t>Solo 401(k) Contribution Workbook - 2026 Inputs</t>
        </is>
      </c>
    </row>
    <row r="3" ht="22" customHeight="1">
      <c r="A3" s="17" t="inlineStr">
        <is>
          <t>Input</t>
        </is>
      </c>
      <c r="B3" s="2" t="inlineStr">
        <is>
          <t>Value</t>
        </is>
      </c>
      <c r="C3" s="17" t="inlineStr">
        <is>
          <t>Source / Note</t>
        </is>
      </c>
    </row>
    <row r="4" ht="33" customHeight="1">
      <c r="A4" s="18" t="inlineStr">
        <is>
          <t>Schedule C net profit (before 1/2 SE tax and plan contribution)</t>
        </is>
      </c>
      <c r="B4" s="4" t="n">
        <v>180000</v>
      </c>
      <c r="C4" s="18" t="inlineStr">
        <is>
          <t>client_facts.md</t>
        </is>
      </c>
    </row>
    <row r="5" ht="18" customHeight="1">
      <c r="A5" s="18" t="inlineStr">
        <is>
          <t>Net earnings factor (per evaluation model)</t>
        </is>
      </c>
      <c r="B5" s="5" t="n">
        <v>0.9235</v>
      </c>
      <c r="C5" s="18" t="inlineStr">
        <is>
          <t>calculation_inputs.csv</t>
        </is>
      </c>
    </row>
    <row r="6" ht="33" customHeight="1">
      <c r="A6" s="18" t="inlineStr">
        <is>
          <t>Modeled SE tax rate (combined, per evaluation model)</t>
        </is>
      </c>
      <c r="B6" s="5" t="n">
        <v>0.153</v>
      </c>
      <c r="C6" s="18" t="inlineStr">
        <is>
          <t>calculation_inputs.csv</t>
        </is>
      </c>
    </row>
    <row r="7" ht="33" customHeight="1">
      <c r="A7" s="18" t="inlineStr">
        <is>
          <t>Outside-plan elective deferral (unrelated employer, 2026)</t>
        </is>
      </c>
      <c r="B7" s="4" t="n">
        <v>10000</v>
      </c>
      <c r="C7" s="18" t="inlineStr">
        <is>
          <t>client_facts.md</t>
        </is>
      </c>
    </row>
    <row r="8" ht="33" customHeight="1">
      <c r="A8" s="18" t="inlineStr">
        <is>
          <t>2026 regular elective-deferral limit (IRC 402(g))</t>
        </is>
      </c>
      <c r="B8" s="4" t="n">
        <v>24500</v>
      </c>
      <c r="C8" s="18" t="inlineStr">
        <is>
          <t>official_guidance.md / IRS Notice 2025-67</t>
        </is>
      </c>
    </row>
    <row r="9" ht="18" customHeight="1">
      <c r="A9" s="18" t="inlineStr">
        <is>
          <t>2026 age-50 catch-up limit (IRC 414(v))</t>
        </is>
      </c>
      <c r="B9" s="4" t="n">
        <v>8000</v>
      </c>
      <c r="C9" s="18" t="inlineStr">
        <is>
          <t>official_guidance.md / IRS Notice 2025-67</t>
        </is>
      </c>
    </row>
    <row r="10" ht="18" customHeight="1">
      <c r="A10" s="18" t="inlineStr">
        <is>
          <t>Employer (profit-sharing) contribution rate</t>
        </is>
      </c>
      <c r="B10" s="5" t="n">
        <v>0.2</v>
      </c>
      <c r="C10" s="18" t="inlineStr">
        <is>
          <t>client_facts.md</t>
        </is>
      </c>
    </row>
    <row r="11" ht="33" customHeight="1">
      <c r="A11" s="18" t="inlineStr">
        <is>
          <t>2026 defined-contribution annual addition limit (IRC 415(c))</t>
        </is>
      </c>
      <c r="B11" s="4" t="n">
        <v>72000</v>
      </c>
      <c r="C11" s="18" t="inlineStr">
        <is>
          <t>official_guidance.md / IRS Notice 2025-67</t>
        </is>
      </c>
    </row>
    <row r="12" ht="18" customHeight="1">
      <c r="A12" s="18" t="inlineStr">
        <is>
          <t>Owner age at year-end 2026</t>
        </is>
      </c>
      <c r="B12" s="4" t="n">
        <v>54</v>
      </c>
      <c r="C12" s="18" t="inlineStr">
        <is>
          <t>client_facts.md</t>
        </is>
      </c>
    </row>
    <row r="13" ht="18" customHeight="1">
      <c r="A13" s="18" t="inlineStr">
        <is>
          <t>Form 5500-EZ asset filing threshold</t>
        </is>
      </c>
      <c r="B13" s="4" t="n">
        <v>250000</v>
      </c>
      <c r="C13" s="18" t="inlineStr">
        <is>
          <t>IRS one-participant 401(k) guidance</t>
        </is>
      </c>
    </row>
    <row r="14" ht="18" customHeight="1">
      <c r="A14" s="18" t="inlineStr">
        <is>
          <t>Age-50 catch-up eligible (age &gt;= 50)</t>
        </is>
      </c>
      <c r="B14" s="6">
        <f>IF(B12&gt;=50,1,0)</f>
        <v/>
      </c>
      <c r="C14" s="18" t="inlineStr">
        <is>
          <t>Derived from owner age</t>
        </is>
      </c>
    </row>
  </sheetData>
  <mergeCells count="1">
    <mergeCell ref="A1:C1"/>
  </mergeCells>
  <pageMargins left="0.4" right="0.4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30" customWidth="1" min="3" max="3"/>
    <col width="50" customWidth="1" min="4" max="4"/>
  </cols>
  <sheetData>
    <row r="1" ht="26" customHeight="1">
      <c r="A1" s="1" t="inlineStr">
        <is>
          <t>2026 Solo 401(k) Modeled Contribution Calculation</t>
        </is>
      </c>
    </row>
    <row r="3" ht="22" customHeight="1">
      <c r="A3" s="17" t="inlineStr">
        <is>
          <t>Step</t>
        </is>
      </c>
      <c r="B3" s="2" t="inlineStr">
        <is>
          <t>Amount</t>
        </is>
      </c>
      <c r="C3" s="17" t="inlineStr">
        <is>
          <t>Formula reference</t>
        </is>
      </c>
      <c r="D3" s="17" t="inlineStr">
        <is>
          <t>Authority / Note</t>
        </is>
      </c>
    </row>
    <row r="4" ht="33" customHeight="1">
      <c r="A4" s="18" t="inlineStr">
        <is>
          <t>1. Net earnings subject to SE tax</t>
        </is>
      </c>
      <c r="B4" s="7">
        <f>Inputs!B4*Inputs!B5</f>
        <v/>
      </c>
      <c r="C4" s="18" t="inlineStr">
        <is>
          <t>Profit x 0.9235</t>
        </is>
      </c>
      <c r="D4" s="18" t="inlineStr">
        <is>
          <t>Net-earnings-from-self-employment factor (evaluation model)</t>
        </is>
      </c>
    </row>
    <row r="5" ht="33" customHeight="1">
      <c r="A5" s="18" t="inlineStr">
        <is>
          <t>2. Modeled SE tax (combined 15.3%)</t>
        </is>
      </c>
      <c r="B5" s="7">
        <f>B4*Inputs!B6</f>
        <v/>
      </c>
      <c r="C5" s="18" t="inlineStr">
        <is>
          <t>Net earnings x 15.3%</t>
        </is>
      </c>
      <c r="D5" s="18" t="inlineStr">
        <is>
          <t>Evaluation deterministic model; ignores SS wage-base split</t>
        </is>
      </c>
    </row>
    <row r="6" ht="18" customHeight="1">
      <c r="A6" s="18" t="inlineStr">
        <is>
          <t>3. Deductible half of SE tax</t>
        </is>
      </c>
      <c r="B6" s="7">
        <f>B5/2</f>
        <v/>
      </c>
      <c r="C6" s="18" t="inlineStr">
        <is>
          <t>Step 2 / 2</t>
        </is>
      </c>
      <c r="D6" s="18" t="inlineStr">
        <is>
          <t>IRC 164(f) deduction</t>
        </is>
      </c>
    </row>
    <row r="7" ht="33" customHeight="1">
      <c r="A7" s="18" t="inlineStr">
        <is>
          <t>4. Adjusted plan compensation</t>
        </is>
      </c>
      <c r="B7" s="7">
        <f>Inputs!B4-B6</f>
        <v/>
      </c>
      <c r="C7" s="18" t="inlineStr">
        <is>
          <t>Profit - Step 3</t>
        </is>
      </c>
      <c r="D7" s="18" t="inlineStr">
        <is>
          <t>Schedule C profit minus 1/2 SE tax (no circular reduction)</t>
        </is>
      </c>
    </row>
    <row r="8" ht="33" customHeight="1">
      <c r="A8" s="18" t="inlineStr">
        <is>
          <t>5. Employer (profit-sharing) contribution</t>
        </is>
      </c>
      <c r="B8" s="7">
        <f>Inputs!B10*B7</f>
        <v/>
      </c>
      <c r="C8" s="18" t="inlineStr">
        <is>
          <t>Rate x Adjusted plan compensation</t>
        </is>
      </c>
      <c r="D8" s="18" t="inlineStr">
        <is>
          <t>20% of adjusted plan compensation; no division by 1.20</t>
        </is>
      </c>
    </row>
    <row r="9" ht="18" customHeight="1">
      <c r="A9" s="18" t="inlineStr">
        <is>
          <t>6. Employee regular deferral remaining</t>
        </is>
      </c>
      <c r="B9" s="7">
        <f>MAX(0,Inputs!B8-Inputs!B7)</f>
        <v/>
      </c>
      <c r="C9" s="18" t="inlineStr">
        <is>
          <t>Reg limit - outside deferral</t>
        </is>
      </c>
      <c r="D9" s="18" t="inlineStr">
        <is>
          <t>IRC 402(g) aggregated across employers</t>
        </is>
      </c>
    </row>
    <row r="10" ht="18" customHeight="1">
      <c r="A10" s="18" t="inlineStr">
        <is>
          <t>7. Employee age-50 catch-up (solo plan)</t>
        </is>
      </c>
      <c r="B10" s="7">
        <f>IF(Inputs!B12&gt;=50,Inputs!B9,0)</f>
        <v/>
      </c>
      <c r="C10" s="18" t="inlineStr">
        <is>
          <t>Catch-up limit if age &gt;= 50</t>
        </is>
      </c>
      <c r="D10" s="18" t="inlineStr">
        <is>
          <t>IRC 414(v); outside employer made no catch-up</t>
        </is>
      </c>
    </row>
    <row r="11" ht="33" customHeight="1">
      <c r="A11" s="18" t="inlineStr">
        <is>
          <t>8. Total employee deferral into solo plan</t>
        </is>
      </c>
      <c r="B11" s="7">
        <f>B9+B10</f>
        <v/>
      </c>
      <c r="C11" s="18" t="inlineStr">
        <is>
          <t>Step 6 + Step 7</t>
        </is>
      </c>
      <c r="D11" s="18" t="inlineStr">
        <is>
          <t>Aggregated personal deferral</t>
        </is>
      </c>
    </row>
    <row r="12" ht="33" customHeight="1">
      <c r="A12" s="18" t="inlineStr">
        <is>
          <t>9. Annual additions excluding catch-up (415 test)</t>
        </is>
      </c>
      <c r="B12" s="7">
        <f>B9+B8</f>
        <v/>
      </c>
      <c r="C12" s="18" t="inlineStr">
        <is>
          <t>Step 6 + Step 5</t>
        </is>
      </c>
      <c r="D12" s="18" t="inlineStr">
        <is>
          <t>Tested against IRC 415(c) limit; catch-up excluded</t>
        </is>
      </c>
    </row>
    <row r="13" ht="18" customHeight="1">
      <c r="A13" s="18" t="inlineStr">
        <is>
          <t>10. 2026 defined-contribution limit</t>
        </is>
      </c>
      <c r="B13" s="7">
        <f>Inputs!B11</f>
        <v/>
      </c>
      <c r="C13" s="18" t="inlineStr">
        <is>
          <t>IRC 415(c) limit</t>
        </is>
      </c>
      <c r="D13" s="18" t="inlineStr">
        <is>
          <t>IRS Notice 2025-67</t>
        </is>
      </c>
    </row>
    <row r="14" ht="18" customHeight="1">
      <c r="A14" s="18" t="inlineStr">
        <is>
          <t>11. DC limit check</t>
        </is>
      </c>
      <c r="B14" s="8">
        <f>IF(B12&lt;=B13,"Within limit","Exceeds limit")</f>
        <v/>
      </c>
      <c r="C14" s="18" t="inlineStr">
        <is>
          <t>Step 9 &lt;= Step 10</t>
        </is>
      </c>
      <c r="D14" s="18" t="inlineStr">
        <is>
          <t>Catch-up is not counted against 415(c)</t>
        </is>
      </c>
    </row>
    <row r="15" ht="18" customHeight="1">
      <c r="A15" s="19" t="inlineStr">
        <is>
          <t>12. Total proposed 2026 contribution</t>
        </is>
      </c>
      <c r="B15" s="10">
        <f>B11+B8</f>
        <v/>
      </c>
      <c r="C15" s="19" t="inlineStr">
        <is>
          <t>Step 8 + Step 5</t>
        </is>
      </c>
      <c r="D15" s="19" t="inlineStr">
        <is>
          <t>Employee deferral + employer contribution</t>
        </is>
      </c>
    </row>
    <row r="16" ht="18" customHeight="1">
      <c r="A16" s="20" t="n"/>
      <c r="C16" s="20" t="n"/>
      <c r="D16" s="20" t="n"/>
    </row>
    <row r="17" ht="18" customHeight="1">
      <c r="A17" s="21" t="inlineStr">
        <is>
          <t>Contribution components</t>
        </is>
      </c>
      <c r="B17" s="11" t="n"/>
      <c r="C17" s="20" t="n"/>
      <c r="D17" s="20" t="n"/>
    </row>
    <row r="18" ht="18" customHeight="1">
      <c r="A18" s="18" t="inlineStr">
        <is>
          <t>Employee regular deferral</t>
        </is>
      </c>
      <c r="B18" s="12">
        <f>B9</f>
        <v/>
      </c>
      <c r="C18" s="20" t="n"/>
      <c r="D18" s="20" t="n"/>
    </row>
    <row r="19" ht="18" customHeight="1">
      <c r="A19" s="18" t="inlineStr">
        <is>
          <t>Employee age-50 catch-up</t>
        </is>
      </c>
      <c r="B19" s="12">
        <f>B10</f>
        <v/>
      </c>
      <c r="C19" s="20" t="n"/>
      <c r="D19" s="20" t="n"/>
    </row>
    <row r="20" ht="18" customHeight="1">
      <c r="A20" s="18" t="inlineStr">
        <is>
          <t>Employer (profit-sharing) contribution</t>
        </is>
      </c>
      <c r="B20" s="12">
        <f>B8</f>
        <v/>
      </c>
      <c r="C20" s="20" t="n"/>
      <c r="D20" s="20" t="n"/>
    </row>
    <row r="21" ht="18" customHeight="1">
      <c r="A21" s="22" t="inlineStr">
        <is>
          <t>Total proposed 2026 contribution</t>
        </is>
      </c>
      <c r="B21" s="10">
        <f>B15</f>
        <v/>
      </c>
      <c r="C21" s="20" t="n"/>
      <c r="D21" s="20" t="n"/>
    </row>
  </sheetData>
  <mergeCells count="1">
    <mergeCell ref="A1:D1"/>
  </mergeCells>
  <pageMargins left="0.4" right="0.4" top="0.5" bottom="0.5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workbookViewId="0">
      <selection activeCell="A1" sqref="A1"/>
    </sheetView>
  </sheetViews>
  <sheetFormatPr baseColWidth="8" defaultRowHeight="15"/>
  <cols>
    <col width="18" customWidth="1" min="1" max="1"/>
    <col width="46" customWidth="1" min="2" max="2"/>
    <col width="22" customWidth="1" min="3" max="3"/>
    <col width="20" customWidth="1" min="4" max="4"/>
    <col width="50" customWidth="1" min="5" max="5"/>
  </cols>
  <sheetData>
    <row r="1" ht="26" customHeight="1">
      <c r="A1" s="1" t="inlineStr">
        <is>
          <t>2026 Solo 401(k) Execution Calendar</t>
        </is>
      </c>
    </row>
    <row r="3" ht="22" customHeight="1">
      <c r="A3" s="2" t="inlineStr">
        <is>
          <t>Phase</t>
        </is>
      </c>
      <c r="B3" s="17" t="inlineStr">
        <is>
          <t>Action</t>
        </is>
      </c>
      <c r="C3" s="2" t="inlineStr">
        <is>
          <t>Target date</t>
        </is>
      </c>
      <c r="D3" s="2" t="inlineStr">
        <is>
          <t>Owner</t>
        </is>
      </c>
      <c r="E3" s="17" t="inlineStr">
        <is>
          <t>Confirmation needed</t>
        </is>
      </c>
    </row>
    <row r="4" ht="33" customHeight="1">
      <c r="A4" s="14" t="inlineStr">
        <is>
          <t>Plan documents</t>
        </is>
      </c>
      <c r="B4" s="18" t="inlineStr">
        <is>
          <t>Adopt one-participant 401(k) plan document and adoption agreement</t>
        </is>
      </c>
      <c r="C4" s="3" t="inlineStr">
        <is>
          <t>By 12/31/2026</t>
        </is>
      </c>
      <c r="D4" s="3" t="inlineStr">
        <is>
          <t>Plan provider / TPA</t>
        </is>
      </c>
      <c r="E4" s="18" t="inlineStr">
        <is>
          <t>Elective deferrals require plan adoption by plan year-end; confirm with TPA</t>
        </is>
      </c>
    </row>
    <row r="5" ht="33" customHeight="1">
      <c r="A5" s="14" t="inlineStr">
        <is>
          <t>Plan documents</t>
        </is>
      </c>
      <c r="B5" s="18" t="inlineStr">
        <is>
          <t>Confirm plan allows Roth and traditional deferrals, catch-up, and 20% profit-sharing</t>
        </is>
      </c>
      <c r="C5" s="3" t="inlineStr">
        <is>
          <t>At adoption</t>
        </is>
      </c>
      <c r="D5" s="3" t="inlineStr">
        <is>
          <t>Plan provider / TPA</t>
        </is>
      </c>
      <c r="E5" s="18" t="inlineStr">
        <is>
          <t>Plan-document terms control available contribution types</t>
        </is>
      </c>
    </row>
    <row r="6" ht="33" customHeight="1">
      <c r="A6" s="14" t="inlineStr">
        <is>
          <t>Employee deferral</t>
        </is>
      </c>
      <c r="B6" s="18" t="inlineStr">
        <is>
          <t>Set deferral election (regular + catch-up) in writing per plan terms</t>
        </is>
      </c>
      <c r="C6" s="3" t="inlineStr">
        <is>
          <t>By 12/31/2026</t>
        </is>
      </c>
      <c r="D6" s="3" t="inlineStr">
        <is>
          <t>Owner / plan provider</t>
        </is>
      </c>
      <c r="E6" s="18" t="inlineStr">
        <is>
          <t>Election timing per plan document</t>
        </is>
      </c>
    </row>
    <row r="7" ht="33" customHeight="1">
      <c r="A7" s="14" t="inlineStr">
        <is>
          <t>Employee deferral</t>
        </is>
      </c>
      <c r="B7" s="18" t="inlineStr">
        <is>
          <t>Deposit employee deferrals as soon as administratively feasible</t>
        </is>
      </c>
      <c r="C7" s="3" t="inlineStr">
        <is>
          <t>Ongoing / by tax deadline</t>
        </is>
      </c>
      <c r="D7" s="3" t="inlineStr">
        <is>
          <t>Plan provider / custodian</t>
        </is>
      </c>
      <c r="E7" s="18" t="inlineStr">
        <is>
          <t>DOL prompt-deposit rule; confirm custodian deposit cutoffs</t>
        </is>
      </c>
    </row>
    <row r="8" ht="33" customHeight="1">
      <c r="A8" s="14" t="inlineStr">
        <is>
          <t>Employer contribution</t>
        </is>
      </c>
      <c r="B8" s="18" t="inlineStr">
        <is>
          <t>Fund employer profit-sharing contribution</t>
        </is>
      </c>
      <c r="C8" s="3" t="inlineStr">
        <is>
          <t>By 4/15/2027 or extended 10/15/2027</t>
        </is>
      </c>
      <c r="D8" s="3" t="inlineStr">
        <is>
          <t>Owner / custodian</t>
        </is>
      </c>
      <c r="E8" s="18" t="inlineStr">
        <is>
          <t>Employer contribution deadline = filing deadline incl. extensions</t>
        </is>
      </c>
    </row>
    <row r="9" ht="33" customHeight="1">
      <c r="A9" s="14" t="inlineStr">
        <is>
          <t>Records</t>
        </is>
      </c>
      <c r="B9" s="18" t="inlineStr">
        <is>
          <t>Retain plan document, adoption agreement, election, deposit confirmations, statements</t>
        </is>
      </c>
      <c r="C9" s="3" t="inlineStr">
        <is>
          <t>Ongoing (keep 7+ years)</t>
        </is>
      </c>
      <c r="D9" s="3" t="inlineStr">
        <is>
          <t>Owner / CPA</t>
        </is>
      </c>
      <c r="E9" s="18" t="inlineStr">
        <is>
          <t>Confirm record-retention policy with adviser</t>
        </is>
      </c>
    </row>
    <row r="10" ht="33" customHeight="1">
      <c r="A10" s="14" t="inlineStr">
        <is>
          <t>Records</t>
        </is>
      </c>
      <c r="B10" s="18" t="inlineStr">
        <is>
          <t>Document SE tax and adjusted-plan-compensation calculation workpaper</t>
        </is>
      </c>
      <c r="C10" s="3" t="inlineStr">
        <is>
          <t>At tax preparation</t>
        </is>
      </c>
      <c r="D10" s="3" t="inlineStr">
        <is>
          <t>CPA</t>
        </is>
      </c>
      <c r="E10" s="18" t="inlineStr">
        <is>
          <t>Supports deduction on Schedule 1 / 1040</t>
        </is>
      </c>
    </row>
    <row r="11" ht="33" customHeight="1">
      <c r="A11" s="14" t="inlineStr">
        <is>
          <t>Form 5500-EZ</t>
        </is>
      </c>
      <c r="B11" s="18" t="inlineStr">
        <is>
          <t>Monitor total plan assets against $250,000 filing threshold</t>
        </is>
      </c>
      <c r="C11" s="3" t="inlineStr">
        <is>
          <t>Each year-end</t>
        </is>
      </c>
      <c r="D11" s="3" t="inlineStr">
        <is>
          <t>CPA / plan provider</t>
        </is>
      </c>
      <c r="E11" s="18" t="inlineStr">
        <is>
          <t>One-participant plans file Form 5500-EZ once assets reach $250,000</t>
        </is>
      </c>
    </row>
    <row r="12" ht="48" customHeight="1">
      <c r="A12" s="14" t="inlineStr">
        <is>
          <t>Form 5500-EZ</t>
        </is>
      </c>
      <c r="B12" s="18" t="inlineStr">
        <is>
          <t>If assets &gt;= $250,000, file Form 5500-EZ by 7/31/2027 (extendable to 10/15/2027 via Form 5558)</t>
        </is>
      </c>
      <c r="C12" s="3" t="inlineStr">
        <is>
          <t>7/31/2027 (or 10/15/2027)</t>
        </is>
      </c>
      <c r="D12" s="3" t="inlineStr">
        <is>
          <t>CPA</t>
        </is>
      </c>
      <c r="E12" s="18" t="inlineStr">
        <is>
          <t>Confirm current due date and extension rules for the filing year</t>
        </is>
      </c>
    </row>
    <row r="13" ht="33" customHeight="1">
      <c r="A13" s="14" t="inlineStr">
        <is>
          <t>Tax filing</t>
        </is>
      </c>
      <c r="B13" s="18" t="inlineStr">
        <is>
          <t>Claim deduction: 1/2 SE tax on Schedule 1, deferral + employer deduction on Schedule 1</t>
        </is>
      </c>
      <c r="C13" s="3" t="inlineStr">
        <is>
          <t>With 2026 Form 1040</t>
        </is>
      </c>
      <c r="D13" s="3" t="inlineStr">
        <is>
          <t>CPA</t>
        </is>
      </c>
      <c r="E13" s="18" t="inlineStr">
        <is>
          <t>Final amounts are a filed result only when reflected on the return</t>
        </is>
      </c>
    </row>
  </sheetData>
  <mergeCells count="1">
    <mergeCell ref="A1:E1"/>
  </mergeCells>
  <pageMargins left="0.4" right="0.4" top="0.5" bottom="0.5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23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  <col width="110" customWidth="1" min="3" max="3"/>
  </cols>
  <sheetData>
    <row r="1" ht="26" customHeight="1">
      <c r="A1" s="1" t="inlineStr">
        <is>
          <t>Sources &amp; Assumptions</t>
        </is>
      </c>
    </row>
    <row r="3" ht="22" customHeight="1">
      <c r="A3" s="2" t="inlineStr">
        <is>
          <t>Type</t>
        </is>
      </c>
      <c r="B3" s="17" t="inlineStr">
        <is>
          <t>Item</t>
        </is>
      </c>
      <c r="C3" s="17" t="inlineStr">
        <is>
          <t>Source</t>
        </is>
      </c>
    </row>
    <row r="4" ht="18" customHeight="1">
      <c r="A4" s="14" t="inlineStr">
        <is>
          <t>Source</t>
        </is>
      </c>
      <c r="B4" s="18" t="inlineStr">
        <is>
          <t>IRS one-participant 401(k) plans guidance</t>
        </is>
      </c>
      <c r="C4" s="18" t="inlineStr">
        <is>
          <t>https://www.irs.gov/retirement-plans/one-participant-401k-plans</t>
        </is>
      </c>
    </row>
    <row r="5" ht="18" customHeight="1">
      <c r="A5" s="14" t="inlineStr">
        <is>
          <t>Source</t>
        </is>
      </c>
      <c r="B5" s="18" t="inlineStr">
        <is>
          <t>IRS 2026 COLA dollar limitations</t>
        </is>
      </c>
      <c r="C5" s="18" t="inlineStr">
        <is>
          <t>https://www.irs.gov/retirement-plans/cola-increases-for-dollar-limitations-on-benefits-and-contributions</t>
        </is>
      </c>
    </row>
    <row r="6" ht="18" customHeight="1">
      <c r="A6" s="14" t="inlineStr">
        <is>
          <t>Source</t>
        </is>
      </c>
      <c r="B6" s="18" t="inlineStr">
        <is>
          <t>IRS Notice 2025-67 (2026 limits)</t>
        </is>
      </c>
      <c r="C6" s="18" t="inlineStr">
        <is>
          <t>https://www.irs.gov/pub/irs-drop/n-25-67.pdf</t>
        </is>
      </c>
    </row>
    <row r="7" ht="18" customHeight="1">
      <c r="A7" s="14" t="inlineStr">
        <is>
          <t>Source</t>
        </is>
      </c>
      <c r="B7" s="18" t="inlineStr">
        <is>
          <t>IRS Publication 560 (retirement plans for small business)</t>
        </is>
      </c>
      <c r="C7" s="18" t="inlineStr">
        <is>
          <t>https://www.irs.gov/publications/p560</t>
        </is>
      </c>
    </row>
    <row r="8" ht="33" customHeight="1">
      <c r="A8" s="14" t="inlineStr">
        <is>
          <t>Assumption</t>
        </is>
      </c>
      <c r="B8" s="18" t="inlineStr">
        <is>
          <t>Schedule C net profit before 1/2 SE tax and plan contribution is $180,000</t>
        </is>
      </c>
      <c r="C8" s="18" t="inlineStr">
        <is>
          <t>client_facts.md</t>
        </is>
      </c>
    </row>
    <row r="9" ht="33" customHeight="1">
      <c r="A9" s="14" t="inlineStr">
        <is>
          <t>Assumption</t>
        </is>
      </c>
      <c r="B9" s="18" t="inlineStr">
        <is>
          <t>Net earnings subject to SE tax = 92.35% of profit (used only to compute SE tax)</t>
        </is>
      </c>
      <c r="C9" s="18" t="inlineStr">
        <is>
          <t>calculation_inputs.csv</t>
        </is>
      </c>
    </row>
    <row r="10" ht="33" customHeight="1">
      <c r="A10" s="14" t="inlineStr">
        <is>
          <t>Assumption</t>
        </is>
      </c>
      <c r="B10" s="18" t="inlineStr">
        <is>
          <t>Modeled SE tax uses a combined 15.3% rate; SS wage-base split ignored</t>
        </is>
      </c>
      <c r="C10" s="18" t="inlineStr">
        <is>
          <t>client_facts.md</t>
        </is>
      </c>
    </row>
    <row r="11" ht="33" customHeight="1">
      <c r="A11" s="14" t="inlineStr">
        <is>
          <t>Assumption</t>
        </is>
      </c>
      <c r="B11" s="18" t="inlineStr">
        <is>
          <t>Adjusted plan compensation = Schedule C profit - 1/2 SE tax (no circular reduction)</t>
        </is>
      </c>
      <c r="C11" s="18" t="inlineStr">
        <is>
          <t>client_facts.md / Pub 560</t>
        </is>
      </c>
    </row>
    <row r="12" ht="33" customHeight="1">
      <c r="A12" s="14" t="inlineStr">
        <is>
          <t>Assumption</t>
        </is>
      </c>
      <c r="B12" s="18" t="inlineStr">
        <is>
          <t>Employer contribution = 20% of adjusted plan compensation, with no division by 1.20</t>
        </is>
      </c>
      <c r="C12" s="18" t="inlineStr">
        <is>
          <t>client_facts.md / Pub 560</t>
        </is>
      </c>
    </row>
    <row r="13" ht="18" customHeight="1">
      <c r="A13" s="14" t="inlineStr">
        <is>
          <t>Assumption</t>
        </is>
      </c>
      <c r="B13" s="18" t="inlineStr">
        <is>
          <t>Owner is age 54 at year-end 2026 and is catch-up eligible</t>
        </is>
      </c>
      <c r="C13" s="18" t="inlineStr">
        <is>
          <t>client_facts.md</t>
        </is>
      </c>
    </row>
    <row r="14" ht="33" customHeight="1">
      <c r="A14" s="14" t="inlineStr">
        <is>
          <t>Assumption</t>
        </is>
      </c>
      <c r="B14" s="18" t="inlineStr">
        <is>
          <t>$10,000 outside deferral counts against the 2026 regular 402(g) limit first</t>
        </is>
      </c>
      <c r="C14" s="18" t="inlineStr">
        <is>
          <t>client_facts.md</t>
        </is>
      </c>
    </row>
    <row r="15" ht="33" customHeight="1">
      <c r="A15" s="14" t="inlineStr">
        <is>
          <t>Assumption</t>
        </is>
      </c>
      <c r="B15" s="18" t="inlineStr">
        <is>
          <t>Outside employer made no catch-up and no employer contribution</t>
        </is>
      </c>
      <c r="C15" s="18" t="inlineStr">
        <is>
          <t>client_facts.md</t>
        </is>
      </c>
    </row>
    <row r="16" ht="33" customHeight="1">
      <c r="A16" s="14" t="inlineStr">
        <is>
          <t>Assumption</t>
        </is>
      </c>
      <c r="B16" s="18" t="inlineStr">
        <is>
          <t>No other plan balances; no controlled-group / affiliated-service-group issue</t>
        </is>
      </c>
      <c r="C16" s="18" t="inlineStr">
        <is>
          <t>client_facts.md</t>
        </is>
      </c>
    </row>
    <row r="17" ht="33" customHeight="1">
      <c r="A17" s="14" t="inlineStr">
        <is>
          <t>Assumption</t>
        </is>
      </c>
      <c r="B17" s="18" t="inlineStr">
        <is>
          <t>Catch-up is excluded from the IRC 415(c) annual addition limit</t>
        </is>
      </c>
      <c r="C17" s="18" t="inlineStr">
        <is>
          <t>IRS 415 rules / Pub 560</t>
        </is>
      </c>
    </row>
    <row r="18" ht="33" customHeight="1">
      <c r="A18" s="14" t="inlineStr">
        <is>
          <t>Planning estimate</t>
        </is>
      </c>
      <c r="B18" s="18" t="inlineStr">
        <is>
          <t>Total modeled 2026 contribution is a planning estimate, not a filed tax result</t>
        </is>
      </c>
      <c r="C18" s="18" t="inlineStr">
        <is>
          <t>This workbook</t>
        </is>
      </c>
    </row>
    <row r="19" ht="33" customHeight="1">
      <c r="A19" s="15" t="inlineStr">
        <is>
          <t>Open item</t>
        </is>
      </c>
      <c r="B19" s="23" t="inlineStr">
        <is>
          <t>Confirm plan-document terms, adoption deadline, and deposit timing with TPA / plan provider</t>
        </is>
      </c>
      <c r="C19" s="23" t="inlineStr">
        <is>
          <t>Adviser confirmation required</t>
        </is>
      </c>
    </row>
    <row r="20" ht="33" customHeight="1">
      <c r="A20" s="15" t="inlineStr">
        <is>
          <t>Open item</t>
        </is>
      </c>
      <c r="B20" s="23" t="inlineStr">
        <is>
          <t>Confirm payroll-provider / custodian deferral deposit cutoffs and election procedures</t>
        </is>
      </c>
      <c r="C20" s="23" t="inlineStr">
        <is>
          <t>Adviser confirmation required</t>
        </is>
      </c>
    </row>
    <row r="21" ht="33" customHeight="1">
      <c r="A21" s="15" t="inlineStr">
        <is>
          <t>Open item</t>
        </is>
      </c>
      <c r="B21" s="23" t="inlineStr">
        <is>
          <t>Confirm state-law, controlled-group, and other-plan-balance facts with tax adviser</t>
        </is>
      </c>
      <c r="C21" s="23" t="inlineStr">
        <is>
          <t>Adviser confirmation required</t>
        </is>
      </c>
    </row>
    <row r="22" ht="33" customHeight="1">
      <c r="A22" s="15" t="inlineStr">
        <is>
          <t>Open item</t>
        </is>
      </c>
      <c r="B22" s="23" t="inlineStr">
        <is>
          <t>Confirm Form 5500-EZ due date, extension rules, and asset threshold for the filing year</t>
        </is>
      </c>
      <c r="C22" s="23" t="inlineStr">
        <is>
          <t>Adviser confirmation required</t>
        </is>
      </c>
    </row>
    <row r="23" ht="33" customHeight="1">
      <c r="A23" s="15" t="inlineStr">
        <is>
          <t>Open item</t>
        </is>
      </c>
      <c r="B23" s="23" t="inlineStr">
        <is>
          <t>Refresh 2026 limits against later IRS guidance before any filing</t>
        </is>
      </c>
      <c r="C23" s="23" t="inlineStr">
        <is>
          <t>official_guidance.md</t>
        </is>
      </c>
    </row>
  </sheetData>
  <mergeCells count="1">
    <mergeCell ref="A1:C1"/>
  </mergeCells>
  <pageMargins left="0.4" right="0.4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2026-08-24T21:05:28Z</dcterms:created>
  <dcterms:modified xmlns:dcterms="http://purl.org/dc/terms/" xmlns:xsi="http://www.w3.org/2001/XMLSchema-instance" xsi:type="dcterms:W3CDTF">2026-08-25T00:31:30Z</dcterms:modified>
</cp:coreProperties>
</file>