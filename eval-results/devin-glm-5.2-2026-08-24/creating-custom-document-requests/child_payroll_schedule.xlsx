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Wage Calculation" sheetId="2" state="visible" r:id="rId2"/>
    <sheet xmlns:r="http://schemas.openxmlformats.org/officeDocument/2006/relationships" name="Payroll Taxes" sheetId="3" state="visible" r:id="rId3"/>
    <sheet xmlns:r="http://schemas.openxmlformats.org/officeDocument/2006/relationships" name="Income Tax &amp; Roth" sheetId="4" state="visible" r:id="rId4"/>
    <sheet xmlns:r="http://schemas.openxmlformats.org/officeDocument/2006/relationships" name="Payroll Schedule" sheetId="5" state="visible" r:id="rId5"/>
    <sheet xmlns:r="http://schemas.openxmlformats.org/officeDocument/2006/relationships" name="Sources &amp; 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4" fontId="0" fillId="0" borderId="1" pivotButton="0" quotePrefix="0" xfId="0"/>
    <xf numFmtId="4" fontId="5" fillId="3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5" fillId="3" borderId="0" pivotButton="0" quotePrefix="0" xfId="0"/>
    <xf numFmtId="1" fontId="5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40" customWidth="1" min="4" max="4"/>
  </cols>
  <sheetData>
    <row r="1">
      <c r="A1" s="1" t="inlineStr">
        <is>
          <t>Patel Creative Studio — Child Employment Payroll Schedule (Tax Year 2026)</t>
        </is>
      </c>
    </row>
    <row r="2">
      <c r="A2" s="2" t="inlineStr">
        <is>
          <t>Planning estimate — not a filed tax result. See 'Sources &amp; Assumptions'.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</row>
    <row r="5">
      <c r="A5" s="4" t="inlineStr">
        <is>
          <t>Child age</t>
        </is>
      </c>
      <c r="B5" s="5" t="n">
        <v>15</v>
      </c>
      <c r="C5" s="4" t="inlineStr">
        <is>
          <t>years</t>
        </is>
      </c>
      <c r="D5" s="4" t="inlineStr">
        <is>
          <t>client_facts.md</t>
        </is>
      </c>
    </row>
    <row r="6">
      <c r="A6" s="4" t="inlineStr">
        <is>
          <t>Documented hours (2026)</t>
        </is>
      </c>
      <c r="B6" s="5" t="n">
        <v>160</v>
      </c>
      <c r="C6" s="4" t="inlineStr">
        <is>
          <t>hours</t>
        </is>
      </c>
      <c r="D6" s="4" t="inlineStr">
        <is>
          <t>client_facts.md / calculation_inputs.csv</t>
        </is>
      </c>
    </row>
    <row r="7">
      <c r="A7" s="4" t="inlineStr">
        <is>
          <t>Comparable hourly rate 1</t>
        </is>
      </c>
      <c r="B7" s="5" t="n">
        <v>16</v>
      </c>
      <c r="C7" s="4" t="inlineStr">
        <is>
          <t>$/hour</t>
        </is>
      </c>
      <c r="D7" s="4" t="inlineStr">
        <is>
          <t>calculation_inputs.csv</t>
        </is>
      </c>
    </row>
    <row r="8">
      <c r="A8" s="4" t="inlineStr">
        <is>
          <t>Comparable hourly rate 2</t>
        </is>
      </c>
      <c r="B8" s="5" t="n">
        <v>18</v>
      </c>
      <c r="C8" s="4" t="inlineStr">
        <is>
          <t>$/hour</t>
        </is>
      </c>
      <c r="D8" s="4" t="inlineStr">
        <is>
          <t>calculation_inputs.csv</t>
        </is>
      </c>
    </row>
    <row r="9">
      <c r="A9" s="4" t="inlineStr">
        <is>
          <t>Comparable hourly rate 3</t>
        </is>
      </c>
      <c r="B9" s="5" t="n">
        <v>20</v>
      </c>
      <c r="C9" s="4" t="inlineStr">
        <is>
          <t>$/hour</t>
        </is>
      </c>
      <c r="D9" s="4" t="inlineStr">
        <is>
          <t>calculation_inputs.csv</t>
        </is>
      </c>
    </row>
    <row r="10">
      <c r="A10" s="4" t="inlineStr">
        <is>
          <t>Owner proposed budget</t>
        </is>
      </c>
      <c r="B10" s="5" t="n">
        <v>8000</v>
      </c>
      <c r="C10" s="4" t="inlineStr">
        <is>
          <t>$</t>
        </is>
      </c>
      <c r="D10" s="4" t="inlineStr">
        <is>
          <t>client_facts.md</t>
        </is>
      </c>
    </row>
    <row r="11">
      <c r="A11" s="4" t="inlineStr">
        <is>
          <t>2026 dependent std deduction floor</t>
        </is>
      </c>
      <c r="B11" s="5" t="n">
        <v>1350</v>
      </c>
      <c r="C11" s="4" t="inlineStr">
        <is>
          <t>$</t>
        </is>
      </c>
      <c r="D11" s="4" t="inlineStr">
        <is>
          <t>official_guidance.md / IRB 2025-45</t>
        </is>
      </c>
    </row>
    <row r="12">
      <c r="A12" s="4" t="inlineStr">
        <is>
          <t>2026 dependent earned-income addition</t>
        </is>
      </c>
      <c r="B12" s="5" t="n">
        <v>450</v>
      </c>
      <c r="C12" s="4" t="inlineStr">
        <is>
          <t>$</t>
        </is>
      </c>
      <c r="D12" s="4" t="inlineStr">
        <is>
          <t>official_guidance.md / IRB 2025-45</t>
        </is>
      </c>
    </row>
    <row r="13">
      <c r="A13" s="4" t="inlineStr">
        <is>
          <t>2026 dependent std deduction cap</t>
        </is>
      </c>
      <c r="B13" s="5" t="n">
        <v>16100</v>
      </c>
      <c r="C13" s="4" t="inlineStr">
        <is>
          <t>$</t>
        </is>
      </c>
      <c r="D13" s="4" t="inlineStr">
        <is>
          <t>official_guidance.md / IRB 2025-45</t>
        </is>
      </c>
    </row>
    <row r="14">
      <c r="A14" s="4" t="inlineStr">
        <is>
          <t>2026 IRA/Roth contribution limit (under 50)</t>
        </is>
      </c>
      <c r="B14" s="5" t="n">
        <v>7500</v>
      </c>
      <c r="C14" s="4" t="inlineStr">
        <is>
          <t>$</t>
        </is>
      </c>
      <c r="D14" s="4" t="inlineStr">
        <is>
          <t>IRS IR-2025-111 / Notice 2025-67</t>
        </is>
      </c>
    </row>
    <row r="15">
      <c r="A15" s="4" t="inlineStr">
        <is>
          <t>2026 Roth single full-contribution MAGI cap</t>
        </is>
      </c>
      <c r="B15" s="5" t="n">
        <v>153000</v>
      </c>
      <c r="C15" s="4" t="inlineStr">
        <is>
          <t>$</t>
        </is>
      </c>
      <c r="D15" s="4" t="inlineStr">
        <is>
          <t>IRS IR-2025-111</t>
        </is>
      </c>
    </row>
    <row r="16">
      <c r="A16" s="4" t="inlineStr">
        <is>
          <t>Social Security rate (employer)</t>
        </is>
      </c>
      <c r="B16" s="6" t="n">
        <v>0.062</v>
      </c>
      <c r="C16" s="4" t="inlineStr">
        <is>
          <t>rate</t>
        </is>
      </c>
      <c r="D16" s="4" t="inlineStr">
        <is>
          <t>IRS Pub. 15 (reference)</t>
        </is>
      </c>
    </row>
    <row r="17">
      <c r="A17" s="4" t="inlineStr">
        <is>
          <t>Social Security rate (employee)</t>
        </is>
      </c>
      <c r="B17" s="6" t="n">
        <v>0.062</v>
      </c>
      <c r="C17" s="4" t="inlineStr">
        <is>
          <t>rate</t>
        </is>
      </c>
      <c r="D17" s="4" t="inlineStr">
        <is>
          <t>IRS Pub. 15 (reference)</t>
        </is>
      </c>
    </row>
    <row r="18">
      <c r="A18" s="4" t="inlineStr">
        <is>
          <t>Medicare rate (employer)</t>
        </is>
      </c>
      <c r="B18" s="6" t="n">
        <v>0.0145</v>
      </c>
      <c r="C18" s="4" t="inlineStr">
        <is>
          <t>rate</t>
        </is>
      </c>
      <c r="D18" s="4" t="inlineStr">
        <is>
          <t>IRS Pub. 15 (reference)</t>
        </is>
      </c>
    </row>
    <row r="19">
      <c r="A19" s="4" t="inlineStr">
        <is>
          <t>Medicare rate (employee)</t>
        </is>
      </c>
      <c r="B19" s="6" t="n">
        <v>0.0145</v>
      </c>
      <c r="C19" s="4" t="inlineStr">
        <is>
          <t>rate</t>
        </is>
      </c>
      <c r="D19" s="4" t="inlineStr">
        <is>
          <t>IRS Pub. 15 (reference)</t>
        </is>
      </c>
    </row>
    <row r="20">
      <c r="A20" s="4" t="inlineStr">
        <is>
          <t>FUTA rate (reference)</t>
        </is>
      </c>
      <c r="B20" s="6" t="n">
        <v>0.006</v>
      </c>
      <c r="C20" s="4" t="inlineStr">
        <is>
          <t>rate</t>
        </is>
      </c>
      <c r="D20" s="4" t="inlineStr">
        <is>
          <t>IRS Pub. 15 (reference)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4" customWidth="1" min="3" max="3"/>
  </cols>
  <sheetData>
    <row r="1">
      <c r="A1" s="7" t="inlineStr">
        <is>
          <t>Reasonable Wage Determination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Note</t>
        </is>
      </c>
    </row>
    <row r="4">
      <c r="A4" s="4" t="inlineStr">
        <is>
          <t>Comparable rate 1</t>
        </is>
      </c>
      <c r="B4" s="8">
        <f>Inputs!B7</f>
        <v/>
      </c>
      <c r="C4" s="4" t="inlineStr">
        <is>
          <t>$/hour</t>
        </is>
      </c>
    </row>
    <row r="5">
      <c r="A5" s="4" t="inlineStr">
        <is>
          <t>Comparable rate 2</t>
        </is>
      </c>
      <c r="B5" s="8">
        <f>Inputs!B8</f>
        <v/>
      </c>
      <c r="C5" s="4" t="inlineStr">
        <is>
          <t>$/hour</t>
        </is>
      </c>
    </row>
    <row r="6">
      <c r="A6" s="4" t="inlineStr">
        <is>
          <t>Comparable rate 3</t>
        </is>
      </c>
      <c r="B6" s="8">
        <f>Inputs!B9</f>
        <v/>
      </c>
      <c r="C6" s="4" t="inlineStr">
        <is>
          <t>$/hour</t>
        </is>
      </c>
    </row>
    <row r="7">
      <c r="A7" s="4" t="inlineStr">
        <is>
          <t>Median comparable rate</t>
        </is>
      </c>
      <c r="B7" s="8">
        <f>MEDIAN(B4:B6)</f>
        <v/>
      </c>
      <c r="C7" s="4" t="inlineStr">
        <is>
          <t>$/hour — per client_facts.md, use median</t>
        </is>
      </c>
    </row>
    <row r="8">
      <c r="A8" s="4" t="inlineStr">
        <is>
          <t>Documented hours</t>
        </is>
      </c>
      <c r="B8" s="8">
        <f>Inputs!B6</f>
        <v/>
      </c>
      <c r="C8" s="4" t="inlineStr">
        <is>
          <t>hours</t>
        </is>
      </c>
    </row>
    <row r="9">
      <c r="A9" s="4" t="inlineStr">
        <is>
          <t>Reasonable total wages (2026)</t>
        </is>
      </c>
      <c r="B9" s="5">
        <f>B7*B8</f>
        <v/>
      </c>
      <c r="C9" s="4" t="inlineStr">
        <is>
          <t>median rate x documented hours</t>
        </is>
      </c>
    </row>
    <row r="10">
      <c r="A10" s="4" t="inlineStr">
        <is>
          <t>Owner proposed budget</t>
        </is>
      </c>
      <c r="B10" s="9">
        <f>Inputs!B10</f>
        <v/>
      </c>
      <c r="C10" s="4" t="inlineStr">
        <is>
          <t>$</t>
        </is>
      </c>
    </row>
    <row r="11">
      <c r="A11" s="4" t="inlineStr">
        <is>
          <t>Implied rate at owner budget</t>
        </is>
      </c>
      <c r="B11" s="8">
        <f>IF(B10=0,0,B10/B8)</f>
        <v/>
      </c>
      <c r="C11" s="4" t="inlineStr">
        <is>
          <t>$/hour — for comparison only</t>
        </is>
      </c>
    </row>
    <row r="12">
      <c r="A12" s="4" t="inlineStr">
        <is>
          <t>Budget vs. reasonable wages</t>
        </is>
      </c>
      <c r="B12" s="8">
        <f>B10-B9</f>
        <v/>
      </c>
      <c r="C12" s="4" t="inlineStr">
        <is>
          <t>excess of budget over reasonable pay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8" customWidth="1" min="4" max="4"/>
    <col width="46" customWidth="1" min="5" max="5"/>
  </cols>
  <sheetData>
    <row r="1">
      <c r="A1" s="7" t="inlineStr">
        <is>
          <t>Federal Payroll Tax Classification — Child under 18, Sole Proprietorship</t>
        </is>
      </c>
    </row>
    <row r="3">
      <c r="A3" s="3" t="inlineStr">
        <is>
          <t>Tax</t>
        </is>
      </c>
      <c r="B3" s="3" t="inlineStr">
        <is>
          <t>Statutory rate</t>
        </is>
      </c>
      <c r="C3" s="3" t="inlineStr">
        <is>
          <t>Applies?</t>
        </is>
      </c>
      <c r="D3" s="3" t="inlineStr">
        <is>
          <t>Amount (if applied)</t>
        </is>
      </c>
      <c r="E3" s="3" t="inlineStr">
        <is>
          <t>Basis</t>
        </is>
      </c>
    </row>
    <row r="4">
      <c r="A4" s="4" t="inlineStr">
        <is>
          <t>Social Security (employer)</t>
        </is>
      </c>
      <c r="B4" s="6">
        <f>Inputs!B16</f>
        <v/>
      </c>
      <c r="C4" s="4" t="inlineStr">
        <is>
          <t>No — exempt</t>
        </is>
      </c>
      <c r="D4" s="8">
        <f>'Wage Calculation'!B9*Inputs!B16*0</f>
        <v/>
      </c>
      <c r="E4" s="4" t="inlineStr">
        <is>
          <t>Child under 18 in parent's sole prop.</t>
        </is>
      </c>
    </row>
    <row r="5">
      <c r="A5" s="4" t="inlineStr">
        <is>
          <t>Social Security (employee)</t>
        </is>
      </c>
      <c r="B5" s="6">
        <f>Inputs!B17</f>
        <v/>
      </c>
      <c r="C5" s="4" t="inlineStr">
        <is>
          <t>No — exempt</t>
        </is>
      </c>
      <c r="D5" s="8">
        <f>'Wage Calculation'!B9*Inputs!B17*0</f>
        <v/>
      </c>
      <c r="E5" s="4" t="inlineStr">
        <is>
          <t>Child under 18 in parent's sole prop.</t>
        </is>
      </c>
    </row>
    <row r="6">
      <c r="A6" s="4" t="inlineStr">
        <is>
          <t>Medicare (employer)</t>
        </is>
      </c>
      <c r="B6" s="6">
        <f>Inputs!B18</f>
        <v/>
      </c>
      <c r="C6" s="4" t="inlineStr">
        <is>
          <t>No — exempt</t>
        </is>
      </c>
      <c r="D6" s="8">
        <f>'Wage Calculation'!B9*Inputs!B18*0</f>
        <v/>
      </c>
      <c r="E6" s="4" t="inlineStr">
        <is>
          <t>Child under 18 in parent's sole prop.</t>
        </is>
      </c>
    </row>
    <row r="7">
      <c r="A7" s="4" t="inlineStr">
        <is>
          <t>Medicare (employee)</t>
        </is>
      </c>
      <c r="B7" s="6">
        <f>Inputs!B19</f>
        <v/>
      </c>
      <c r="C7" s="4" t="inlineStr">
        <is>
          <t>No — exempt</t>
        </is>
      </c>
      <c r="D7" s="8">
        <f>'Wage Calculation'!B9*Inputs!B19*0</f>
        <v/>
      </c>
      <c r="E7" s="4" t="inlineStr">
        <is>
          <t>Child under 18 in parent's sole prop.</t>
        </is>
      </c>
    </row>
    <row r="8">
      <c r="A8" s="4" t="inlineStr">
        <is>
          <t>FUTA (federal unemployment)</t>
        </is>
      </c>
      <c r="B8" s="6">
        <f>Inputs!B20</f>
        <v/>
      </c>
      <c r="C8" s="4" t="inlineStr">
        <is>
          <t>No — exempt</t>
        </is>
      </c>
      <c r="D8" s="8">
        <f>'Wage Calculation'!B9*Inputs!B20*0</f>
        <v/>
      </c>
      <c r="E8" s="4" t="inlineStr">
        <is>
          <t>Child under 21</t>
        </is>
      </c>
    </row>
    <row r="9">
      <c r="A9" s="4" t="inlineStr">
        <is>
          <t>Federal income tax withholding</t>
        </is>
      </c>
      <c r="B9" s="6" t="inlineStr">
        <is>
          <t>n/a</t>
        </is>
      </c>
      <c r="C9" s="4" t="inlineStr">
        <is>
          <t>Yes — applies</t>
        </is>
      </c>
      <c r="D9" s="8">
        <f>'Wage Calculation'!B9*0</f>
        <v/>
      </c>
      <c r="E9" s="4" t="inlineStr">
        <is>
          <t>Likely $0 withheld if W-4 exempt; reporting still required</t>
        </is>
      </c>
    </row>
    <row r="10">
      <c r="A10" s="10" t="inlineStr">
        <is>
          <t>Total federal payroll tax remitted</t>
        </is>
      </c>
      <c r="B10" s="4" t="n"/>
      <c r="C10" s="4" t="n"/>
      <c r="D10" s="11">
        <f>SUM(D4:D9)</f>
        <v/>
      </c>
      <c r="E10" s="4" t="inlineStr">
        <is>
          <t>All exempt; FIT withholding expected $0 if W-4 exempt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6" customWidth="1" min="3" max="3"/>
  </cols>
  <sheetData>
    <row r="1">
      <c r="A1" s="7" t="inlineStr">
        <is>
          <t>Arjun — 2026 Federal Income Tax Position &amp; Roth IRA Capacity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Note / Formula</t>
        </is>
      </c>
    </row>
    <row r="4">
      <c r="A4" s="4" t="inlineStr">
        <is>
          <t>Wage income (earned income)</t>
        </is>
      </c>
      <c r="B4" s="8">
        <f>'Wage Calculation'!B9</f>
        <v/>
      </c>
      <c r="C4" s="4" t="inlineStr">
        <is>
          <t>Reasonable total wages from Wage Calculation</t>
        </is>
      </c>
    </row>
    <row r="5">
      <c r="A5" s="4" t="inlineStr">
        <is>
          <t>Other income</t>
        </is>
      </c>
      <c r="B5" s="8" t="n">
        <v>0</v>
      </c>
      <c r="C5" s="4" t="inlineStr">
        <is>
          <t>client_facts.md: no other income</t>
        </is>
      </c>
    </row>
    <row r="6">
      <c r="A6" s="4" t="inlineStr">
        <is>
          <t>AGI</t>
        </is>
      </c>
      <c r="B6" s="8">
        <f>B4+B5</f>
        <v/>
      </c>
      <c r="C6" s="4" t="inlineStr">
        <is>
          <t>Wages + other income</t>
        </is>
      </c>
    </row>
    <row r="7">
      <c r="A7" s="4" t="inlineStr">
        <is>
          <t>Dependent std deduction floor</t>
        </is>
      </c>
      <c r="B7" s="8">
        <f>Inputs!B11</f>
        <v/>
      </c>
      <c r="C7" s="4" t="inlineStr">
        <is>
          <t>$1,350</t>
        </is>
      </c>
    </row>
    <row r="8">
      <c r="A8" s="4" t="inlineStr">
        <is>
          <t>Earned income + addition</t>
        </is>
      </c>
      <c r="B8" s="8">
        <f>B4+Inputs!B12</f>
        <v/>
      </c>
      <c r="C8" s="4" t="inlineStr">
        <is>
          <t>earned income + $450</t>
        </is>
      </c>
    </row>
    <row r="9">
      <c r="A9" s="4" t="inlineStr">
        <is>
          <t>Greater of floor or (EI + addition)</t>
        </is>
      </c>
      <c r="B9" s="8">
        <f>MAX(B7,B8)</f>
        <v/>
      </c>
      <c r="C9" s="4" t="inlineStr">
        <is>
          <t>step 1 of dependent std deduction</t>
        </is>
      </c>
    </row>
    <row r="10">
      <c r="A10" s="4" t="inlineStr">
        <is>
          <t>Standard deduction cap</t>
        </is>
      </c>
      <c r="B10" s="8">
        <f>Inputs!B13</f>
        <v/>
      </c>
      <c r="C10" s="4" t="inlineStr">
        <is>
          <t>$16,100</t>
        </is>
      </c>
    </row>
    <row r="11">
      <c r="A11" s="4" t="inlineStr">
        <is>
          <t>Standard deduction (lesser of above &amp; cap)</t>
        </is>
      </c>
      <c r="B11" s="8">
        <f>MIN(B9,B10)</f>
        <v/>
      </c>
      <c r="C11" s="4" t="inlineStr">
        <is>
          <t>2026 dependent standard deduction</t>
        </is>
      </c>
    </row>
    <row r="12">
      <c r="A12" s="4" t="inlineStr">
        <is>
          <t>Taxable income</t>
        </is>
      </c>
      <c r="B12" s="8">
        <f>MAX(B6-B11,0)</f>
        <v/>
      </c>
      <c r="C12" s="4" t="inlineStr">
        <is>
          <t>AGI - std deduction, not below 0</t>
        </is>
      </c>
    </row>
    <row r="13">
      <c r="A13" s="4" t="inlineStr">
        <is>
          <t>Federal income tax (2026)</t>
        </is>
      </c>
      <c r="B13" s="9">
        <f>B12*0</f>
        <v/>
      </c>
      <c r="C13" s="4" t="inlineStr">
        <is>
          <t>Estimate: $0 — taxable income is $0; confirm brackets</t>
        </is>
      </c>
    </row>
    <row r="14">
      <c r="A14" s="4" t="inlineStr"/>
      <c r="B14" s="9" t="inlineStr"/>
      <c r="C14" s="4" t="inlineStr"/>
    </row>
    <row r="15">
      <c r="A15" s="4" t="inlineStr">
        <is>
          <t>Roth IRA — earned income</t>
        </is>
      </c>
      <c r="B15" s="4">
        <f>B4</f>
        <v/>
      </c>
      <c r="C15" s="4" t="inlineStr">
        <is>
          <t>Wages</t>
        </is>
      </c>
    </row>
    <row r="16">
      <c r="A16" s="4" t="inlineStr">
        <is>
          <t>Roth IRA — 2026 statutory limit</t>
        </is>
      </c>
      <c r="B16" s="4">
        <f>Inputs!B14</f>
        <v/>
      </c>
      <c r="C16" s="4" t="inlineStr">
        <is>
          <t>$7,500 (under 50)</t>
        </is>
      </c>
    </row>
    <row r="17">
      <c r="A17" s="4" t="inlineStr">
        <is>
          <t>Roth IRA — MAGI (single)</t>
        </is>
      </c>
      <c r="B17" s="8">
        <f>B6</f>
        <v/>
      </c>
      <c r="C17" s="4" t="inlineStr">
        <is>
          <t>Equals wages; no other income</t>
        </is>
      </c>
    </row>
    <row r="18">
      <c r="A18" s="4" t="inlineStr">
        <is>
          <t>Roth IRA — single full-contribution cap</t>
        </is>
      </c>
      <c r="B18" s="8">
        <f>Inputs!B15</f>
        <v/>
      </c>
      <c r="C18" s="4" t="inlineStr">
        <is>
          <t>$153,000</t>
        </is>
      </c>
    </row>
    <row r="19">
      <c r="A19" s="4" t="inlineStr">
        <is>
          <t>Roth IRA — phase-out applies?</t>
        </is>
      </c>
      <c r="B19" s="8">
        <f>IF(B17&lt;B18,"No","Yes")</f>
        <v/>
      </c>
      <c r="C19" s="4" t="inlineStr">
        <is>
          <t>MAGI below threshold</t>
        </is>
      </c>
    </row>
    <row r="20">
      <c r="A20" s="4" t="inlineStr">
        <is>
          <t>Roth IRA contribution capacity</t>
        </is>
      </c>
      <c r="B20" s="8">
        <f>IF(B19="No",MIN(B15,B16),0)</f>
        <v/>
      </c>
      <c r="C20" s="4" t="inlineStr">
        <is>
          <t>lesser of earned income or limit</t>
        </is>
      </c>
    </row>
    <row r="21">
      <c r="B21" s="12" t="n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2026 Period-by-Period Payroll Schedule (illustrative — actual dates/hours per timesheets)</t>
        </is>
      </c>
    </row>
    <row r="3">
      <c r="A3" s="3" t="inlineStr">
        <is>
          <t>Period</t>
        </is>
      </c>
      <c r="B3" s="3" t="inlineStr">
        <is>
          <t>Pay date</t>
        </is>
      </c>
      <c r="C3" s="3" t="inlineStr">
        <is>
          <t>Hours</t>
        </is>
      </c>
      <c r="D3" s="3" t="inlineStr">
        <is>
          <t>Hourly rate</t>
        </is>
      </c>
      <c r="E3" s="3" t="inlineStr">
        <is>
          <t>Gross wages</t>
        </is>
      </c>
      <c r="F3" s="3" t="inlineStr">
        <is>
          <t>FICA (exempt)</t>
        </is>
      </c>
      <c r="G3" s="3" t="inlineStr">
        <is>
          <t>FIT withheld</t>
        </is>
      </c>
      <c r="H3" s="3" t="inlineStr">
        <is>
          <t>Net pay</t>
        </is>
      </c>
    </row>
    <row r="4">
      <c r="A4" s="4" t="inlineStr">
        <is>
          <t>Q1 2026</t>
        </is>
      </c>
      <c r="B4" s="4" t="inlineStr">
        <is>
          <t>2026-03-31</t>
        </is>
      </c>
      <c r="C4" s="5" t="n">
        <v>40</v>
      </c>
      <c r="D4" s="8">
        <f>'Wage Calculation'!B7</f>
        <v/>
      </c>
      <c r="E4" s="8">
        <f>C4*D4</f>
        <v/>
      </c>
      <c r="F4" s="8" t="n">
        <v>0</v>
      </c>
      <c r="G4" s="8" t="n">
        <v>0</v>
      </c>
      <c r="H4" s="8">
        <f>E4-F4-G4</f>
        <v/>
      </c>
    </row>
    <row r="5">
      <c r="A5" s="4" t="inlineStr">
        <is>
          <t>Q2 2026</t>
        </is>
      </c>
      <c r="B5" s="4" t="inlineStr">
        <is>
          <t>2026-06-30</t>
        </is>
      </c>
      <c r="C5" s="5" t="n">
        <v>40</v>
      </c>
      <c r="D5" s="8">
        <f>'Wage Calculation'!B7</f>
        <v/>
      </c>
      <c r="E5" s="8">
        <f>C5*D5</f>
        <v/>
      </c>
      <c r="F5" s="8" t="n">
        <v>0</v>
      </c>
      <c r="G5" s="8" t="n">
        <v>0</v>
      </c>
      <c r="H5" s="8">
        <f>E5-F5-G5</f>
        <v/>
      </c>
    </row>
    <row r="6">
      <c r="A6" s="4" t="inlineStr">
        <is>
          <t>Q3 2026</t>
        </is>
      </c>
      <c r="B6" s="4" t="inlineStr">
        <is>
          <t>2026-09-30</t>
        </is>
      </c>
      <c r="C6" s="5" t="n">
        <v>40</v>
      </c>
      <c r="D6" s="8">
        <f>'Wage Calculation'!B7</f>
        <v/>
      </c>
      <c r="E6" s="8">
        <f>C6*D6</f>
        <v/>
      </c>
      <c r="F6" s="8" t="n">
        <v>0</v>
      </c>
      <c r="G6" s="8" t="n">
        <v>0</v>
      </c>
      <c r="H6" s="8">
        <f>E6-F6-G6</f>
        <v/>
      </c>
    </row>
    <row r="7">
      <c r="A7" s="4" t="inlineStr">
        <is>
          <t>Q4 2026</t>
        </is>
      </c>
      <c r="B7" s="4" t="inlineStr">
        <is>
          <t>2026-12-31</t>
        </is>
      </c>
      <c r="C7" s="5" t="n">
        <v>40</v>
      </c>
      <c r="D7" s="8">
        <f>'Wage Calculation'!B7</f>
        <v/>
      </c>
      <c r="E7" s="8">
        <f>C7*D7</f>
        <v/>
      </c>
      <c r="F7" s="8" t="n">
        <v>0</v>
      </c>
      <c r="G7" s="8" t="n">
        <v>0</v>
      </c>
      <c r="H7" s="8">
        <f>E7-F7-G7</f>
        <v/>
      </c>
    </row>
    <row r="8">
      <c r="A8" s="10" t="inlineStr">
        <is>
          <t>Total 2026</t>
        </is>
      </c>
      <c r="B8" s="4" t="n"/>
      <c r="C8" s="13">
        <f>SUM(C4:C7)</f>
        <v/>
      </c>
      <c r="D8" s="8" t="n"/>
      <c r="E8" s="11">
        <f>SUM(E4:E7)</f>
        <v/>
      </c>
      <c r="F8" s="11">
        <f>SUM(F4:F7)</f>
        <v/>
      </c>
      <c r="G8" s="11">
        <f>SUM(G4:G7)</f>
        <v/>
      </c>
      <c r="H8" s="11">
        <f>SUM(H4:H7)</f>
        <v/>
      </c>
    </row>
    <row r="10">
      <c r="A10" s="2" t="inlineStr">
        <is>
          <t>Illustrative quarterly split of 160 hours. Actual pay dates and hours must follow contemporaneous timesheets.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90" customWidth="1" min="3" max="3"/>
  </cols>
  <sheetData>
    <row r="1" ht="20" customHeight="1">
      <c r="A1" s="7" t="inlineStr">
        <is>
          <t>Sources &amp; Assumptions</t>
        </is>
      </c>
      <c r="B1" s="15" t="n"/>
      <c r="C1" s="15" t="n"/>
    </row>
    <row r="2" ht="20" customHeight="1">
      <c r="B2" s="15" t="n"/>
      <c r="C2" s="15" t="n"/>
    </row>
    <row r="3" ht="20" customHeight="1">
      <c r="A3" s="3" t="inlineStr">
        <is>
          <t>Type</t>
        </is>
      </c>
      <c r="B3" s="3" t="inlineStr">
        <is>
          <t>Detail</t>
        </is>
      </c>
      <c r="C3" s="3" t="inlineStr">
        <is>
          <t>Source</t>
        </is>
      </c>
    </row>
    <row r="4" ht="33" customHeight="1">
      <c r="A4" s="14" t="inlineStr">
        <is>
          <t>Source doc</t>
        </is>
      </c>
      <c r="B4" s="14" t="inlineStr">
        <is>
          <t>Synthetic client facts (entity, child age, hours, comparables, budget, dependent status)</t>
        </is>
      </c>
      <c r="C4" s="14" t="inlineStr">
        <is>
          <t>source_docs/client_facts.md</t>
        </is>
      </c>
    </row>
    <row r="5" ht="20" customHeight="1">
      <c r="A5" s="14" t="inlineStr">
        <is>
          <t>Source doc</t>
        </is>
      </c>
      <c r="B5" s="14" t="inlineStr">
        <is>
          <t>Calculation inputs (hours, rates, std deduction parameters, budget)</t>
        </is>
      </c>
      <c r="C5" s="14" t="inlineStr">
        <is>
          <t>source_docs/calculation_inputs.csv</t>
        </is>
      </c>
    </row>
    <row r="6" ht="33" customHeight="1">
      <c r="A6" s="14" t="inlineStr">
        <is>
          <t>Source doc</t>
        </is>
      </c>
      <c r="B6" s="14" t="inlineStr">
        <is>
          <t>Official guidance: family-employee FICA/FUTA exemptions, Pub. 15, 2026 dependent std deduction</t>
        </is>
      </c>
      <c r="C6" s="14" t="inlineStr">
        <is>
          <t>source_docs/official_guidance.md</t>
        </is>
      </c>
    </row>
    <row r="7" ht="33" customHeight="1">
      <c r="A7" s="14" t="inlineStr">
        <is>
          <t>Federal rule</t>
        </is>
      </c>
      <c r="B7" s="14" t="inlineStr">
        <is>
          <t>Child under 18 in parent's sole proprietorship: FICA exempt; under 21: FUTA exempt; FIT withholding/reporting still applies</t>
        </is>
      </c>
      <c r="C7" s="14" t="inlineStr">
        <is>
          <t>IRS Family Employees — https://www.irs.gov/businesses/small-businesses-self-employed/family-employees</t>
        </is>
      </c>
    </row>
    <row r="8" ht="20" customHeight="1">
      <c r="A8" s="14" t="inlineStr">
        <is>
          <t>Federal rule</t>
        </is>
      </c>
      <c r="B8" s="14" t="inlineStr">
        <is>
          <t>Payroll procedures, withholding forms, deposit rules, Form W-2</t>
        </is>
      </c>
      <c r="C8" s="14" t="inlineStr">
        <is>
          <t>IRS Publication 15 — https://www.irs.gov/publications/p15</t>
        </is>
      </c>
    </row>
    <row r="9" ht="33" customHeight="1">
      <c r="A9" s="14" t="inlineStr">
        <is>
          <t>Federal rule</t>
        </is>
      </c>
      <c r="B9" s="14" t="inlineStr">
        <is>
          <t>2026 dependent standard deduction = greater of $1,350 or earned income + $450, capped at $16,100</t>
        </is>
      </c>
      <c r="C9" s="14" t="inlineStr">
        <is>
          <t>IRS IRB 2025-45 — https://www.irs.gov/irb/2025-45_IRB</t>
        </is>
      </c>
    </row>
    <row r="10" ht="33" customHeight="1">
      <c r="A10" s="14" t="inlineStr">
        <is>
          <t>Federal rule</t>
        </is>
      </c>
      <c r="B10" s="14" t="inlineStr">
        <is>
          <t>2026 IRA/Roth contribution limit $7,500 (under 50); single full Roth MAGI cap $153,000</t>
        </is>
      </c>
      <c r="C10" s="14" t="inlineStr">
        <is>
          <t>IRS IR-2025-111 / Notice 2025-67</t>
        </is>
      </c>
    </row>
    <row r="11" ht="33" customHeight="1">
      <c r="A11" s="14" t="inlineStr">
        <is>
          <t>Assumption</t>
        </is>
      </c>
      <c r="B11" s="14" t="inlineStr">
        <is>
          <t>Median comparable ($18) used as reasonable rate per client_facts.md direction</t>
        </is>
      </c>
      <c r="C11" s="14" t="inlineStr">
        <is>
          <t>client_facts.md</t>
        </is>
      </c>
    </row>
    <row r="12" ht="33" customHeight="1">
      <c r="A12" s="14" t="inlineStr">
        <is>
          <t>Assumption</t>
        </is>
      </c>
      <c r="B12" s="14" t="inlineStr">
        <is>
          <t>160 documented hours are real, age-appropriate business work (not personal/household labor)</t>
        </is>
      </c>
      <c r="C12" s="14" t="inlineStr">
        <is>
          <t>client_facts.md</t>
        </is>
      </c>
    </row>
    <row r="13" ht="33" customHeight="1">
      <c r="A13" s="14" t="inlineStr">
        <is>
          <t>Assumption</t>
        </is>
      </c>
      <c r="B13" s="14" t="inlineStr">
        <is>
          <t>Arjun claims exempt on Form W-4 (no 2025 liability, expects none for 2026) =&gt; $0 FIT withheld</t>
        </is>
      </c>
      <c r="C13" s="14" t="inlineStr">
        <is>
          <t>Derived from facts; confirm with adviser</t>
        </is>
      </c>
    </row>
    <row r="14" ht="33" customHeight="1">
      <c r="A14" s="14" t="inlineStr">
        <is>
          <t>Assumption</t>
        </is>
      </c>
      <c r="B14" s="14" t="inlineStr">
        <is>
          <t>Illustrative payroll schedule splits 160 hours evenly across 4 quarters; actual dates/hours per timesheets</t>
        </is>
      </c>
      <c r="C14" s="14" t="inlineStr">
        <is>
          <t>Modeling assumption</t>
        </is>
      </c>
    </row>
    <row r="15" ht="33" customHeight="1">
      <c r="A15" s="14" t="inlineStr">
        <is>
          <t>Assumption</t>
        </is>
      </c>
      <c r="B15" s="14" t="inlineStr">
        <is>
          <t>Roth IRA custodian permits a minor/custodial account; plan-document eligibility confirmed</t>
        </is>
      </c>
      <c r="C15" s="14" t="inlineStr">
        <is>
          <t>To be confirmed (evidence gap)</t>
        </is>
      </c>
    </row>
    <row r="16" ht="20" customHeight="1">
      <c r="A16" s="14" t="inlineStr">
        <is>
          <t>Evidence gap</t>
        </is>
      </c>
      <c r="B16" s="14" t="inlineStr">
        <is>
          <t>State child-labor law clearance required before work begins</t>
        </is>
      </c>
      <c r="C16" s="14" t="inlineStr">
        <is>
          <t>client_facts.md flags counsel/payroll confirmation</t>
        </is>
      </c>
    </row>
    <row r="17" ht="33" customHeight="1">
      <c r="A17" s="14" t="inlineStr">
        <is>
          <t>Evidence gap</t>
        </is>
      </c>
      <c r="B17" s="14" t="inlineStr">
        <is>
          <t>Payroll-provider configuration of FICA/FUTA exemptions and FIT/W-2 reporting</t>
        </is>
      </c>
      <c r="C17" s="14" t="inlineStr">
        <is>
          <t>To be confirmed</t>
        </is>
      </c>
    </row>
    <row r="18" ht="33" customHeight="1">
      <c r="A18" s="14" t="inlineStr">
        <is>
          <t>Evidence gap</t>
        </is>
      </c>
      <c r="B18" s="14" t="inlineStr">
        <is>
          <t>Actual hours worked and paid during 2026 (filed result may differ from 160-hour estimate)</t>
        </is>
      </c>
      <c r="C18" s="14" t="inlineStr">
        <is>
          <t>Contemporaneous timesheets</t>
        </is>
      </c>
    </row>
    <row r="19" ht="20" customHeight="1">
      <c r="A19" s="14" t="inlineStr">
        <is>
          <t>Evidence gap</t>
        </is>
      </c>
      <c r="B19" s="14" t="inlineStr">
        <is>
          <t>Source/origin of each comparable ($16/$18/$20) for substantiation</t>
        </is>
      </c>
      <c r="C19" s="14" t="inlineStr">
        <is>
          <t>To be documented</t>
        </is>
      </c>
    </row>
    <row r="20" ht="33" customHeight="1">
      <c r="A20" s="14" t="inlineStr">
        <is>
          <t>Evidence gap</t>
        </is>
      </c>
      <c r="B20" s="14" t="inlineStr">
        <is>
          <t>State payroll, unemployment, and income-tax obligations (federal-only analysis)</t>
        </is>
      </c>
      <c r="C20" s="14" t="inlineStr">
        <is>
          <t>To be confirmed with adviser</t>
        </is>
      </c>
    </row>
    <row r="21" ht="20" customHeight="1">
      <c r="A21" s="14" t="inlineStr">
        <is>
          <t>Evidence gap</t>
        </is>
      </c>
      <c r="B21" s="14" t="inlineStr">
        <is>
          <t>Later-law changes before use for an actual taxpayer</t>
        </is>
      </c>
      <c r="C21" s="14" t="inlineStr">
        <is>
          <t>official_guidance.md directs confirmation</t>
        </is>
      </c>
    </row>
    <row r="22" ht="33" customHeight="1">
      <c r="A22" s="14" t="inlineStr">
        <is>
          <t>Disclaimer</t>
        </is>
      </c>
      <c r="B22" s="14" t="inlineStr">
        <is>
          <t>All figures are planning estimates, not filed tax results. Filed amounts reflect actual paid hours and confirmed rules.</t>
        </is>
      </c>
      <c r="C22" s="14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2026-08-24T20:52:34Z</dcterms:created>
  <dcterms:modified xmlns:dcterms="http://purl.org/dc/terms/" xmlns:xsi="http://www.w3.org/2001/XMLSchema-instance" xsi:type="dcterms:W3CDTF">2026-08-25T00:28:41Z</dcterms:modified>
</cp:coreProperties>
</file>