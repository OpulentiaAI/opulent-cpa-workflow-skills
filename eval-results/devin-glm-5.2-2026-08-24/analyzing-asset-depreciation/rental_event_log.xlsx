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 Log" sheetId="1" state="visible" r:id="rId1"/>
    <sheet xmlns:r="http://schemas.openxmlformats.org/officeDocument/2006/relationships" name="Sources &amp; 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$#,##0.00"/>
    <numFmt numFmtId="167" formatCode="0.00&quot;x&quot;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pivotButton="0" quotePrefix="0" xfId="0"/>
    <xf numFmtId="18" fontId="0" fillId="0" borderId="1" applyAlignment="1" pivotButton="0" quotePrefix="0" xfId="0">
      <alignment horizontal="center" vertical="center"/>
    </xf>
    <xf numFmtId="2" fontId="0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5" fontId="0" fillId="0" borderId="1" pivotButton="0" quotePrefix="0" xfId="0"/>
    <xf numFmtId="166" fontId="0" fillId="0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2" fontId="4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4" borderId="0" pivotButton="0" quotePrefix="0" xfId="0"/>
    <xf numFmtId="166" fontId="4" fillId="0" borderId="0" pivotButton="0" quotePrefix="0" xfId="0"/>
    <xf numFmtId="166" fontId="0" fillId="0" borderId="0" pivotButton="0" quotePrefix="0" xfId="0"/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5" fontId="4" fillId="3" borderId="1" pivotButton="0" quotePrefix="0" xfId="0"/>
    <xf numFmtId="0" fontId="4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6" customWidth="1" min="7" max="7"/>
    <col width="46" customWidth="1" min="8" max="8"/>
    <col width="11" customWidth="1" min="9" max="9"/>
    <col width="16" customWidth="1" min="10" max="10"/>
    <col width="16" customWidth="1" min="11" max="11"/>
    <col width="14" customWidth="1" min="12" max="12"/>
    <col width="14" customWidth="1" min="13" max="13"/>
    <col width="26" customWidth="1" min="14" max="14"/>
    <col width="16" customWidth="1" min="15" max="15"/>
  </cols>
  <sheetData>
    <row r="1">
      <c r="A1" s="1" t="inlineStr">
        <is>
          <t>Willow Strategy Inc. - Section 280A(g) Home-Rental Event &amp; Documentation Log (Tax Year 2026)</t>
        </is>
      </c>
    </row>
    <row r="2" ht="30" customHeight="1">
      <c r="A2" s="2" t="inlineStr">
        <is>
          <t>Owner: Taylor (residence, Chicago West Loop) | Renter: Willow Strategy Inc. (S corp) | Arrangement: written rental agreement, per-event invoice, corporate-account payment. No overnight lodging, personal entertainment, or mixed personal events.</t>
        </is>
      </c>
    </row>
    <row r="4" ht="32" customHeight="1">
      <c r="A4" s="3" t="inlineStr">
        <is>
          <t>Event #</t>
        </is>
      </c>
      <c r="B4" s="3" t="inlineStr">
        <is>
          <t>Date</t>
        </is>
      </c>
      <c r="C4" s="3" t="inlineStr">
        <is>
          <t>Day of Week</t>
        </is>
      </c>
      <c r="D4" s="3" t="inlineStr">
        <is>
          <t>Start</t>
        </is>
      </c>
      <c r="E4" s="3" t="inlineStr">
        <is>
          <t>End</t>
        </is>
      </c>
      <c r="F4" s="3" t="inlineStr">
        <is>
          <t>Duration (hours, formula)</t>
        </is>
      </c>
      <c r="G4" s="3" t="inlineStr">
        <is>
          <t>Meeting Type</t>
        </is>
      </c>
      <c r="H4" s="3" t="inlineStr">
        <is>
          <t>Documented Business Agenda / Purpose</t>
        </is>
      </c>
      <c r="I4" s="3" t="inlineStr">
        <is>
          <t>Attendee Count</t>
        </is>
      </c>
      <c r="J4" s="3" t="inlineStr">
        <is>
          <t>Day Rate (USD, benchmark)</t>
        </is>
      </c>
      <c r="K4" s="3" t="inlineStr">
        <is>
          <t>Per-Event Payment (formula)</t>
        </is>
      </c>
      <c r="L4" s="3" t="inlineStr">
        <is>
          <t>Invoice #</t>
        </is>
      </c>
      <c r="M4" s="3" t="inlineStr">
        <is>
          <t>Payment Status</t>
        </is>
      </c>
      <c r="N4" s="3" t="inlineStr">
        <is>
          <t>Documentation Status</t>
        </is>
      </c>
      <c r="O4" s="3" t="inlineStr">
        <is>
          <t>Cumulative Rental Days (formula)</t>
        </is>
      </c>
    </row>
    <row r="5">
      <c r="A5" s="4" t="n">
        <v>1</v>
      </c>
      <c r="B5" s="5" t="n">
        <v>46037</v>
      </c>
      <c r="C5" s="4">
        <f>TEXT(B5,"dddd")</f>
        <v/>
      </c>
      <c r="D5" s="6" t="n">
        <v>0.375</v>
      </c>
      <c r="E5" s="6" t="n">
        <v>0.7083333333333334</v>
      </c>
      <c r="F5" s="7">
        <f>MOD(E5-D5,1)*24</f>
        <v/>
      </c>
      <c r="G5" s="8" t="inlineStr">
        <is>
          <t>Leadership</t>
        </is>
      </c>
      <c r="H5" s="9" t="inlineStr">
        <is>
          <t>Q1 leadership offsite: 2026 strategic priorities &amp; OKR cascade</t>
        </is>
      </c>
      <c r="I5" s="4" t="n">
        <v>8</v>
      </c>
      <c r="J5" s="10">
        <f>'Sources &amp; Assumptions'!B5</f>
        <v/>
      </c>
      <c r="K5" s="11">
        <f>J5</f>
        <v/>
      </c>
      <c r="L5" s="4" t="inlineStr">
        <is>
          <t>WSI-2026-01</t>
        </is>
      </c>
      <c r="M5" s="4" t="inlineStr">
        <is>
          <t>Pending</t>
        </is>
      </c>
      <c r="N5" s="9" t="inlineStr">
        <is>
          <t>Pending - collect agenda + sign-in</t>
        </is>
      </c>
      <c r="O5" s="4">
        <f>COUNTA($A$5:A5)</f>
        <v/>
      </c>
    </row>
    <row r="6">
      <c r="A6" s="4" t="n">
        <v>2</v>
      </c>
      <c r="B6" s="5" t="n">
        <v>46065</v>
      </c>
      <c r="C6" s="4">
        <f>TEXT(B6,"dddd")</f>
        <v/>
      </c>
      <c r="D6" s="6" t="n">
        <v>0.375</v>
      </c>
      <c r="E6" s="6" t="n">
        <v>0.7083333333333334</v>
      </c>
      <c r="F6" s="7">
        <f>MOD(E6-D6,1)*24</f>
        <v/>
      </c>
      <c r="G6" s="8" t="inlineStr">
        <is>
          <t>Client-planning</t>
        </is>
      </c>
      <c r="H6" s="9" t="inlineStr">
        <is>
          <t>Annual planning with Anchor Client A: roadmap &amp; SOW scope</t>
        </is>
      </c>
      <c r="I6" s="4" t="n">
        <v>8</v>
      </c>
      <c r="J6" s="10">
        <f>'Sources &amp; Assumptions'!B5</f>
        <v/>
      </c>
      <c r="K6" s="11">
        <f>J6</f>
        <v/>
      </c>
      <c r="L6" s="4" t="inlineStr">
        <is>
          <t>WSI-2026-02</t>
        </is>
      </c>
      <c r="M6" s="4" t="inlineStr">
        <is>
          <t>Pending</t>
        </is>
      </c>
      <c r="N6" s="9" t="inlineStr">
        <is>
          <t>Pending - collect agenda + sign-in</t>
        </is>
      </c>
      <c r="O6" s="4">
        <f>O5+1</f>
        <v/>
      </c>
    </row>
    <row r="7">
      <c r="A7" s="4" t="n">
        <v>3</v>
      </c>
      <c r="B7" s="5" t="n">
        <v>46093</v>
      </c>
      <c r="C7" s="4">
        <f>TEXT(B7,"dddd")</f>
        <v/>
      </c>
      <c r="D7" s="6" t="n">
        <v>0.375</v>
      </c>
      <c r="E7" s="6" t="n">
        <v>0.7083333333333334</v>
      </c>
      <c r="F7" s="7">
        <f>MOD(E7-D7,1)*24</f>
        <v/>
      </c>
      <c r="G7" s="8" t="inlineStr">
        <is>
          <t>Leadership</t>
        </is>
      </c>
      <c r="H7" s="9" t="inlineStr">
        <is>
          <t>Q1 closeout &amp; Q2 operating plan review</t>
        </is>
      </c>
      <c r="I7" s="4" t="n">
        <v>8</v>
      </c>
      <c r="J7" s="10">
        <f>'Sources &amp; Assumptions'!B5</f>
        <v/>
      </c>
      <c r="K7" s="11">
        <f>J7</f>
        <v/>
      </c>
      <c r="L7" s="4" t="inlineStr">
        <is>
          <t>WSI-2026-03</t>
        </is>
      </c>
      <c r="M7" s="4" t="inlineStr">
        <is>
          <t>Pending</t>
        </is>
      </c>
      <c r="N7" s="9" t="inlineStr">
        <is>
          <t>Pending - collect agenda + sign-in</t>
        </is>
      </c>
      <c r="O7" s="4">
        <f>O6+1</f>
        <v/>
      </c>
    </row>
    <row r="8">
      <c r="A8" s="4" t="n">
        <v>4</v>
      </c>
      <c r="B8" s="5" t="n">
        <v>46107</v>
      </c>
      <c r="C8" s="4">
        <f>TEXT(B8,"dddd")</f>
        <v/>
      </c>
      <c r="D8" s="6" t="n">
        <v>0.375</v>
      </c>
      <c r="E8" s="6" t="n">
        <v>0.7083333333333334</v>
      </c>
      <c r="F8" s="7">
        <f>MOD(E8-D8,1)*24</f>
        <v/>
      </c>
      <c r="G8" s="8" t="inlineStr">
        <is>
          <t>Client-planning</t>
        </is>
      </c>
      <c r="H8" s="9" t="inlineStr">
        <is>
          <t>Discovery workshop with Prospect B: solution design</t>
        </is>
      </c>
      <c r="I8" s="4" t="n">
        <v>8</v>
      </c>
      <c r="J8" s="10">
        <f>'Sources &amp; Assumptions'!B5</f>
        <v/>
      </c>
      <c r="K8" s="11">
        <f>J8</f>
        <v/>
      </c>
      <c r="L8" s="4" t="inlineStr">
        <is>
          <t>WSI-2026-04</t>
        </is>
      </c>
      <c r="M8" s="4" t="inlineStr">
        <is>
          <t>Pending</t>
        </is>
      </c>
      <c r="N8" s="9" t="inlineStr">
        <is>
          <t>Pending - collect agenda + sign-in</t>
        </is>
      </c>
      <c r="O8" s="4">
        <f>O7+1</f>
        <v/>
      </c>
    </row>
    <row r="9">
      <c r="A9" s="4" t="n">
        <v>5</v>
      </c>
      <c r="B9" s="5" t="n">
        <v>46128</v>
      </c>
      <c r="C9" s="4">
        <f>TEXT(B9,"dddd")</f>
        <v/>
      </c>
      <c r="D9" s="6" t="n">
        <v>0.375</v>
      </c>
      <c r="E9" s="6" t="n">
        <v>0.7083333333333334</v>
      </c>
      <c r="F9" s="7">
        <f>MOD(E9-D9,1)*24</f>
        <v/>
      </c>
      <c r="G9" s="8" t="inlineStr">
        <is>
          <t>Leadership</t>
        </is>
      </c>
      <c r="H9" s="9" t="inlineStr">
        <is>
          <t>Board prep &amp; capital allocation working session</t>
        </is>
      </c>
      <c r="I9" s="4" t="n">
        <v>8</v>
      </c>
      <c r="J9" s="10">
        <f>'Sources &amp; Assumptions'!B5</f>
        <v/>
      </c>
      <c r="K9" s="11">
        <f>J9</f>
        <v/>
      </c>
      <c r="L9" s="4" t="inlineStr">
        <is>
          <t>WSI-2026-05</t>
        </is>
      </c>
      <c r="M9" s="4" t="inlineStr">
        <is>
          <t>Pending</t>
        </is>
      </c>
      <c r="N9" s="9" t="inlineStr">
        <is>
          <t>Pending - collect agenda + sign-in</t>
        </is>
      </c>
      <c r="O9" s="4">
        <f>O8+1</f>
        <v/>
      </c>
    </row>
    <row r="10">
      <c r="A10" s="4" t="n">
        <v>6</v>
      </c>
      <c r="B10" s="5" t="n">
        <v>46156</v>
      </c>
      <c r="C10" s="4">
        <f>TEXT(B10,"dddd")</f>
        <v/>
      </c>
      <c r="D10" s="6" t="n">
        <v>0.375</v>
      </c>
      <c r="E10" s="6" t="n">
        <v>0.7083333333333334</v>
      </c>
      <c r="F10" s="7">
        <f>MOD(E10-D10,1)*24</f>
        <v/>
      </c>
      <c r="G10" s="8" t="inlineStr">
        <is>
          <t>Client-planning</t>
        </is>
      </c>
      <c r="H10" s="9" t="inlineStr">
        <is>
          <t>Quarterly business review with Anchor Client C</t>
        </is>
      </c>
      <c r="I10" s="4" t="n">
        <v>8</v>
      </c>
      <c r="J10" s="10">
        <f>'Sources &amp; Assumptions'!B5</f>
        <v/>
      </c>
      <c r="K10" s="11">
        <f>J10</f>
        <v/>
      </c>
      <c r="L10" s="4" t="inlineStr">
        <is>
          <t>WSI-2026-06</t>
        </is>
      </c>
      <c r="M10" s="4" t="inlineStr">
        <is>
          <t>Pending</t>
        </is>
      </c>
      <c r="N10" s="9" t="inlineStr">
        <is>
          <t>Pending - collect agenda + sign-in</t>
        </is>
      </c>
      <c r="O10" s="4">
        <f>O9+1</f>
        <v/>
      </c>
    </row>
    <row r="11">
      <c r="A11" s="4" t="n">
        <v>7</v>
      </c>
      <c r="B11" s="5" t="n">
        <v>46184</v>
      </c>
      <c r="C11" s="4">
        <f>TEXT(B11,"dddd")</f>
        <v/>
      </c>
      <c r="D11" s="6" t="n">
        <v>0.375</v>
      </c>
      <c r="E11" s="6" t="n">
        <v>0.7083333333333334</v>
      </c>
      <c r="F11" s="7">
        <f>MOD(E11-D11,1)*24</f>
        <v/>
      </c>
      <c r="G11" s="8" t="inlineStr">
        <is>
          <t>Leadership</t>
        </is>
      </c>
      <c r="H11" s="9" t="inlineStr">
        <is>
          <t>Mid-year talent &amp; compensation committee</t>
        </is>
      </c>
      <c r="I11" s="4" t="n">
        <v>8</v>
      </c>
      <c r="J11" s="10">
        <f>'Sources &amp; Assumptions'!B5</f>
        <v/>
      </c>
      <c r="K11" s="11">
        <f>J11</f>
        <v/>
      </c>
      <c r="L11" s="4" t="inlineStr">
        <is>
          <t>WSI-2026-07</t>
        </is>
      </c>
      <c r="M11" s="4" t="inlineStr">
        <is>
          <t>Pending</t>
        </is>
      </c>
      <c r="N11" s="9" t="inlineStr">
        <is>
          <t>Pending - collect agenda + sign-in</t>
        </is>
      </c>
      <c r="O11" s="4">
        <f>O10+1</f>
        <v/>
      </c>
    </row>
    <row r="12">
      <c r="A12" s="4" t="n">
        <v>8</v>
      </c>
      <c r="B12" s="5" t="n">
        <v>46212</v>
      </c>
      <c r="C12" s="4">
        <f>TEXT(B12,"dddd")</f>
        <v/>
      </c>
      <c r="D12" s="6" t="n">
        <v>0.375</v>
      </c>
      <c r="E12" s="6" t="n">
        <v>0.7083333333333334</v>
      </c>
      <c r="F12" s="7">
        <f>MOD(E12-D12,1)*24</f>
        <v/>
      </c>
      <c r="G12" s="8" t="inlineStr">
        <is>
          <t>Client-planning</t>
        </is>
      </c>
      <c r="H12" s="9" t="inlineStr">
        <is>
          <t>Implementation kickoff with Client D</t>
        </is>
      </c>
      <c r="I12" s="4" t="n">
        <v>8</v>
      </c>
      <c r="J12" s="10">
        <f>'Sources &amp; Assumptions'!B5</f>
        <v/>
      </c>
      <c r="K12" s="11">
        <f>J12</f>
        <v/>
      </c>
      <c r="L12" s="4" t="inlineStr">
        <is>
          <t>WSI-2026-08</t>
        </is>
      </c>
      <c r="M12" s="4" t="inlineStr">
        <is>
          <t>Pending</t>
        </is>
      </c>
      <c r="N12" s="9" t="inlineStr">
        <is>
          <t>Pending - collect agenda + sign-in</t>
        </is>
      </c>
      <c r="O12" s="4">
        <f>O11+1</f>
        <v/>
      </c>
    </row>
    <row r="13">
      <c r="A13" s="4" t="n">
        <v>9</v>
      </c>
      <c r="B13" s="5" t="n">
        <v>46247</v>
      </c>
      <c r="C13" s="4">
        <f>TEXT(B13,"dddd")</f>
        <v/>
      </c>
      <c r="D13" s="6" t="n">
        <v>0.375</v>
      </c>
      <c r="E13" s="6" t="n">
        <v>0.7083333333333334</v>
      </c>
      <c r="F13" s="7">
        <f>MOD(E13-D13,1)*24</f>
        <v/>
      </c>
      <c r="G13" s="8" t="inlineStr">
        <is>
          <t>Leadership</t>
        </is>
      </c>
      <c r="H13" s="9" t="inlineStr">
        <is>
          <t>Q3 strategy reset &amp; risk register review</t>
        </is>
      </c>
      <c r="I13" s="4" t="n">
        <v>8</v>
      </c>
      <c r="J13" s="10">
        <f>'Sources &amp; Assumptions'!B5</f>
        <v/>
      </c>
      <c r="K13" s="11">
        <f>J13</f>
        <v/>
      </c>
      <c r="L13" s="4" t="inlineStr">
        <is>
          <t>WSI-2026-09</t>
        </is>
      </c>
      <c r="M13" s="4" t="inlineStr">
        <is>
          <t>Pending</t>
        </is>
      </c>
      <c r="N13" s="9" t="inlineStr">
        <is>
          <t>Pending - collect agenda + sign-in</t>
        </is>
      </c>
      <c r="O13" s="4">
        <f>O12+1</f>
        <v/>
      </c>
    </row>
    <row r="14">
      <c r="A14" s="4" t="n">
        <v>10</v>
      </c>
      <c r="B14" s="5" t="n">
        <v>46275</v>
      </c>
      <c r="C14" s="4">
        <f>TEXT(B14,"dddd")</f>
        <v/>
      </c>
      <c r="D14" s="6" t="n">
        <v>0.375</v>
      </c>
      <c r="E14" s="6" t="n">
        <v>0.7083333333333334</v>
      </c>
      <c r="F14" s="7">
        <f>MOD(E14-D14,1)*24</f>
        <v/>
      </c>
      <c r="G14" s="8" t="inlineStr">
        <is>
          <t>Client-planning</t>
        </is>
      </c>
      <c r="H14" s="9" t="inlineStr">
        <is>
          <t>Proposal design session with Prospect E</t>
        </is>
      </c>
      <c r="I14" s="4" t="n">
        <v>8</v>
      </c>
      <c r="J14" s="10">
        <f>'Sources &amp; Assumptions'!B5</f>
        <v/>
      </c>
      <c r="K14" s="11">
        <f>J14</f>
        <v/>
      </c>
      <c r="L14" s="4" t="inlineStr">
        <is>
          <t>WSI-2026-10</t>
        </is>
      </c>
      <c r="M14" s="4" t="inlineStr">
        <is>
          <t>Pending</t>
        </is>
      </c>
      <c r="N14" s="9" t="inlineStr">
        <is>
          <t>Pending - collect agenda + sign-in</t>
        </is>
      </c>
      <c r="O14" s="4">
        <f>O13+1</f>
        <v/>
      </c>
    </row>
    <row r="15">
      <c r="A15" s="4" t="n">
        <v>11</v>
      </c>
      <c r="B15" s="5" t="n">
        <v>46289</v>
      </c>
      <c r="C15" s="4">
        <f>TEXT(B15,"dddd")</f>
        <v/>
      </c>
      <c r="D15" s="6" t="n">
        <v>0.375</v>
      </c>
      <c r="E15" s="6" t="n">
        <v>0.7083333333333334</v>
      </c>
      <c r="F15" s="7">
        <f>MOD(E15-D15,1)*24</f>
        <v/>
      </c>
      <c r="G15" s="8" t="inlineStr">
        <is>
          <t>Leadership</t>
        </is>
      </c>
      <c r="H15" s="9" t="inlineStr">
        <is>
          <t>FY27 planning retreat part 1: market thesis</t>
        </is>
      </c>
      <c r="I15" s="4" t="n">
        <v>8</v>
      </c>
      <c r="J15" s="10">
        <f>'Sources &amp; Assumptions'!B5</f>
        <v/>
      </c>
      <c r="K15" s="11">
        <f>J15</f>
        <v/>
      </c>
      <c r="L15" s="4" t="inlineStr">
        <is>
          <t>WSI-2026-11</t>
        </is>
      </c>
      <c r="M15" s="4" t="inlineStr">
        <is>
          <t>Pending</t>
        </is>
      </c>
      <c r="N15" s="9" t="inlineStr">
        <is>
          <t>Pending - collect agenda + sign-in</t>
        </is>
      </c>
      <c r="O15" s="4">
        <f>O14+1</f>
        <v/>
      </c>
    </row>
    <row r="16">
      <c r="A16" s="4" t="n">
        <v>12</v>
      </c>
      <c r="B16" s="5" t="n">
        <v>46303</v>
      </c>
      <c r="C16" s="4">
        <f>TEXT(B16,"dddd")</f>
        <v/>
      </c>
      <c r="D16" s="6" t="n">
        <v>0.375</v>
      </c>
      <c r="E16" s="6" t="n">
        <v>0.7083333333333334</v>
      </c>
      <c r="F16" s="7">
        <f>MOD(E16-D16,1)*24</f>
        <v/>
      </c>
      <c r="G16" s="8" t="inlineStr">
        <is>
          <t>Client-planning</t>
        </is>
      </c>
      <c r="H16" s="9" t="inlineStr">
        <is>
          <t>Renewal &amp; expansion negotiation with Anchor Client A</t>
        </is>
      </c>
      <c r="I16" s="4" t="n">
        <v>8</v>
      </c>
      <c r="J16" s="10">
        <f>'Sources &amp; Assumptions'!B5</f>
        <v/>
      </c>
      <c r="K16" s="11">
        <f>J16</f>
        <v/>
      </c>
      <c r="L16" s="4" t="inlineStr">
        <is>
          <t>WSI-2026-12</t>
        </is>
      </c>
      <c r="M16" s="4" t="inlineStr">
        <is>
          <t>Pending</t>
        </is>
      </c>
      <c r="N16" s="9" t="inlineStr">
        <is>
          <t>Pending - collect agenda + sign-in</t>
        </is>
      </c>
      <c r="O16" s="4">
        <f>O15+1</f>
        <v/>
      </c>
    </row>
    <row r="17">
      <c r="A17" s="4" t="n">
        <v>13</v>
      </c>
      <c r="B17" s="5" t="n">
        <v>46338</v>
      </c>
      <c r="C17" s="4">
        <f>TEXT(B17,"dddd")</f>
        <v/>
      </c>
      <c r="D17" s="6" t="n">
        <v>0.375</v>
      </c>
      <c r="E17" s="6" t="n">
        <v>0.7083333333333334</v>
      </c>
      <c r="F17" s="7">
        <f>MOD(E17-D17,1)*24</f>
        <v/>
      </c>
      <c r="G17" s="8" t="inlineStr">
        <is>
          <t>Leadership</t>
        </is>
      </c>
      <c r="H17" s="9" t="inlineStr">
        <is>
          <t>FY27 planning retreat part 2: operating budget</t>
        </is>
      </c>
      <c r="I17" s="4" t="n">
        <v>8</v>
      </c>
      <c r="J17" s="10">
        <f>'Sources &amp; Assumptions'!B5</f>
        <v/>
      </c>
      <c r="K17" s="11">
        <f>J17</f>
        <v/>
      </c>
      <c r="L17" s="4" t="inlineStr">
        <is>
          <t>WSI-2026-13</t>
        </is>
      </c>
      <c r="M17" s="4" t="inlineStr">
        <is>
          <t>Pending</t>
        </is>
      </c>
      <c r="N17" s="9" t="inlineStr">
        <is>
          <t>Pending - collect agenda + sign-in</t>
        </is>
      </c>
      <c r="O17" s="4">
        <f>O16+1</f>
        <v/>
      </c>
    </row>
    <row r="18">
      <c r="A18" s="4" t="n">
        <v>14</v>
      </c>
      <c r="B18" s="5" t="n">
        <v>46366</v>
      </c>
      <c r="C18" s="4">
        <f>TEXT(B18,"dddd")</f>
        <v/>
      </c>
      <c r="D18" s="6" t="n">
        <v>0.375</v>
      </c>
      <c r="E18" s="6" t="n">
        <v>0.7083333333333334</v>
      </c>
      <c r="F18" s="7">
        <f>MOD(E18-D18,1)*24</f>
        <v/>
      </c>
      <c r="G18" s="8" t="inlineStr">
        <is>
          <t>Client-planning</t>
        </is>
      </c>
      <c r="H18" s="9" t="inlineStr">
        <is>
          <t>Year-end account review &amp; 2027 roadmap with Client C</t>
        </is>
      </c>
      <c r="I18" s="4" t="n">
        <v>8</v>
      </c>
      <c r="J18" s="10">
        <f>'Sources &amp; Assumptions'!B5</f>
        <v/>
      </c>
      <c r="K18" s="11">
        <f>J18</f>
        <v/>
      </c>
      <c r="L18" s="4" t="inlineStr">
        <is>
          <t>WSI-2026-14</t>
        </is>
      </c>
      <c r="M18" s="4" t="inlineStr">
        <is>
          <t>Pending</t>
        </is>
      </c>
      <c r="N18" s="9" t="inlineStr">
        <is>
          <t>Pending - collect agenda + sign-in</t>
        </is>
      </c>
      <c r="O18" s="4">
        <f>O17+1</f>
        <v/>
      </c>
    </row>
    <row r="19">
      <c r="A19" s="12" t="inlineStr">
        <is>
          <t>TOTAL</t>
        </is>
      </c>
      <c r="B19" s="13" t="n"/>
      <c r="C19" s="13" t="n"/>
      <c r="D19" s="13" t="n"/>
      <c r="E19" s="13" t="n"/>
      <c r="F19" s="14">
        <f>SUM(F5:F18)</f>
        <v/>
      </c>
      <c r="G19" s="13" t="n"/>
      <c r="H19" s="13" t="n"/>
      <c r="I19" s="13">
        <f>SUM(I5:I18)</f>
        <v/>
      </c>
      <c r="J19" s="13" t="n"/>
      <c r="K19" s="15">
        <f>SUM(K5:K18)</f>
        <v/>
      </c>
      <c r="L19" s="13" t="n"/>
      <c r="M19" s="13" t="n"/>
      <c r="N19" s="13" t="n"/>
      <c r="O19" s="13">
        <f>O18</f>
        <v/>
      </c>
    </row>
    <row r="21">
      <c r="A21" s="16" t="inlineStr">
        <is>
          <t>280A(g) day-count guard</t>
        </is>
      </c>
      <c r="B21" s="17">
        <f>IF(O18&lt;15,"PASS - fewer than 15 rental days; 280A(g) exclusion applies to owner","FAIL - 15+ rental days; exclusion LOST for entire year")</f>
        <v/>
      </c>
    </row>
    <row r="22">
      <c r="A22" s="16" t="inlineStr">
        <is>
          <t>Annual payment @ benchmark (14 day rates)</t>
        </is>
      </c>
      <c r="B22" s="18">
        <f>K19</f>
        <v/>
      </c>
    </row>
    <row r="23">
      <c r="A23" s="16" t="inlineStr">
        <is>
          <t>Proposed $1,800/day annual (NOT adopted)</t>
        </is>
      </c>
      <c r="B23" s="19">
        <f>1800*COUNTA(A5:A18)</f>
        <v/>
      </c>
    </row>
  </sheetData>
  <mergeCells count="1">
    <mergeCell ref="B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60" customWidth="1" min="3" max="3"/>
  </cols>
  <sheetData>
    <row r="1">
      <c r="A1" s="1" t="inlineStr">
        <is>
          <t>Sources &amp; Assumptions - Willow Strategy Inc. Section 280A(g) Arrangement</t>
        </is>
      </c>
    </row>
    <row r="3">
      <c r="A3" s="20" t="inlineStr">
        <is>
          <t>FROZEN PLANNING BENCHMARK</t>
        </is>
      </c>
      <c r="B3" s="21" t="inlineStr"/>
      <c r="C3" s="21" t="inlineStr"/>
    </row>
    <row r="5">
      <c r="A5" s="20" t="inlineStr">
        <is>
          <t>Median normalized 8-hour day rate (USD)</t>
        </is>
      </c>
      <c r="B5" s="22" t="n">
        <v>385</v>
      </c>
      <c r="C5" s="21" t="inlineStr">
        <is>
          <t>Median of 5 comparable asking rates in calculation_inputs.csv (288,363,385,553,754).</t>
        </is>
      </c>
    </row>
    <row r="6">
      <c r="A6" s="23" t="inlineStr">
        <is>
          <t>Annual payment @ benchmark (14 days)</t>
        </is>
      </c>
      <c r="B6" s="24">
        <f>B5*14</f>
        <v/>
      </c>
      <c r="C6" s="9" t="inlineStr">
        <is>
          <t>Formula: benchmark x planned days</t>
        </is>
      </c>
    </row>
    <row r="7">
      <c r="A7" s="9" t="inlineStr">
        <is>
          <t>Proposed $1,800/day annual (NOT adopted)</t>
        </is>
      </c>
      <c r="B7" s="24">
        <f>1800*14</f>
        <v/>
      </c>
      <c r="C7" s="9" t="inlineStr">
        <is>
          <t>Shown for reasonableness comparison only</t>
        </is>
      </c>
    </row>
    <row r="8">
      <c r="A8" s="9" t="inlineStr">
        <is>
          <t>Proposed-to-benchmark ratio</t>
        </is>
      </c>
      <c r="B8" s="25">
        <f>1800/B5</f>
        <v/>
      </c>
      <c r="C8" s="9" t="inlineStr">
        <is>
          <t>4.68x - exceeds reasonableness support</t>
        </is>
      </c>
    </row>
    <row r="9">
      <c r="A9" s="9" t="inlineStr">
        <is>
          <t>Excess over benchmark (annual)</t>
        </is>
      </c>
      <c r="B9" s="24">
        <f>(1800-B5)*14</f>
        <v/>
      </c>
      <c r="C9" s="9" t="inlineStr">
        <is>
          <t>Amount at risk of disallowance under IRC 162</t>
        </is>
      </c>
    </row>
    <row r="11">
      <c r="A11" s="26" t="inlineStr">
        <is>
          <t>Comparable</t>
        </is>
      </c>
      <c r="B11" s="26" t="inlineStr">
        <is>
          <t>Normalized day rate</t>
        </is>
      </c>
      <c r="C11" s="26" t="inlineStr">
        <is>
          <t>Notes</t>
        </is>
      </c>
    </row>
    <row r="12">
      <c r="A12" s="9" t="inlineStr">
        <is>
          <t>CHI-01 Large Focus Room, Michigan Ave (cap 8)</t>
        </is>
      </c>
      <c r="B12" s="24" t="n">
        <v>288</v>
      </c>
      <c r="C12" s="9" t="inlineStr">
        <is>
          <t>$40/hr x 8hr x 90% discount</t>
        </is>
      </c>
    </row>
    <row r="13">
      <c r="A13" s="9" t="inlineStr">
        <is>
          <t>CHI-02 VC Studio, Regus West Loop (cap 6)</t>
        </is>
      </c>
      <c r="B13" s="24" t="n">
        <v>363</v>
      </c>
      <c r="C13" s="9" t="inlineStr">
        <is>
          <t>Direct day rate; smaller capacity (6)</t>
        </is>
      </c>
    </row>
    <row r="14">
      <c r="A14" s="9" t="inlineStr">
        <is>
          <t>CHI-03 Small Boardroom, Regus 125 S Wacker (cap 8)</t>
        </is>
      </c>
      <c r="B14" s="24" t="n">
        <v>385</v>
      </c>
      <c r="C14" s="9" t="inlineStr">
        <is>
          <t>Direct day rate - MEDIAN (benchmark)</t>
        </is>
      </c>
    </row>
    <row r="15">
      <c r="A15" s="9" t="inlineStr">
        <is>
          <t>CHI-04 MR-15B, Spaces 1 N State St (cap 8)</t>
        </is>
      </c>
      <c r="B15" s="24" t="n">
        <v>553</v>
      </c>
      <c r="C15" s="9" t="inlineStr">
        <is>
          <t>Direct day rate</t>
        </is>
      </c>
    </row>
    <row r="16">
      <c r="A16" s="9" t="inlineStr">
        <is>
          <t>CHI-05 MR03, Signature 110 N Wacker (cap 8)</t>
        </is>
      </c>
      <c r="B16" s="24" t="n">
        <v>754</v>
      </c>
      <c r="C16" s="9" t="inlineStr">
        <is>
          <t>Direct day rate</t>
        </is>
      </c>
    </row>
    <row r="17">
      <c r="A17" s="20" t="inlineStr">
        <is>
          <t>Median (formula)</t>
        </is>
      </c>
      <c r="B17" s="27">
        <f>MEDIAN(B12:B16)</f>
        <v/>
      </c>
      <c r="C17" s="21" t="inlineStr">
        <is>
          <t>Ties to B5 benchmark</t>
        </is>
      </c>
    </row>
    <row r="19">
      <c r="A19" s="26" t="inlineStr">
        <is>
          <t>OFFICIAL AUTHORITY (2026 federal; refresh before filing)</t>
        </is>
      </c>
      <c r="B19" s="26" t="inlineStr"/>
      <c r="C19" s="26" t="inlineStr"/>
    </row>
    <row r="20">
      <c r="A20" s="9" t="inlineStr">
        <is>
          <t>IRC 280A(g) - dwelling used as residence rented &lt;15 days</t>
        </is>
      </c>
      <c r="B20" s="9" t="inlineStr">
        <is>
          <t>Exclusion + no rental deductions</t>
        </is>
      </c>
      <c r="C20" s="9" t="inlineStr">
        <is>
          <t>https://uscode.house.gov/view.xhtml?req=granuleid:USC-prelim-title26-section280A</t>
        </is>
      </c>
    </row>
    <row r="21">
      <c r="A21" s="9" t="inlineStr">
        <is>
          <t>IRS Publication 527</t>
        </is>
      </c>
      <c r="B21" s="9" t="inlineStr">
        <is>
          <t>Describes &lt;15-day rule &amp; reporting</t>
        </is>
      </c>
      <c r="C21" s="9" t="inlineStr">
        <is>
          <t>https://www.irs.gov/publications/p527</t>
        </is>
      </c>
    </row>
    <row r="22">
      <c r="A22" s="9" t="inlineStr">
        <is>
          <t>IRC 162 - company deduction (separate question)</t>
        </is>
      </c>
      <c r="B22" s="9" t="inlineStr">
        <is>
          <t>Ordinary, necessary; related-party reasonableness</t>
        </is>
      </c>
      <c r="C22" s="9" t="inlineStr">
        <is>
          <t>https://uscode.house.gov/view.xhtml?req=granuleid:USC-prelim-title26-section162</t>
        </is>
      </c>
    </row>
    <row r="24">
      <c r="A24" s="26" t="inlineStr">
        <is>
          <t>KEY ASSUMPTIONS</t>
        </is>
      </c>
      <c r="B24" s="26" t="inlineStr"/>
      <c r="C24" s="26" t="inlineStr"/>
    </row>
    <row r="25">
      <c r="A25" s="9" t="inlineStr">
        <is>
          <t>Taxpayer and residence are synthetic; no real address used.</t>
        </is>
      </c>
      <c r="B25" s="9" t="inlineStr"/>
      <c r="C25" s="9" t="inlineStr"/>
    </row>
    <row r="26">
      <c r="A26" s="9" t="inlineStr">
        <is>
          <t>Residence is not otherwise rented during 2026 (client representation; verify before filing).</t>
        </is>
      </c>
      <c r="B26" s="9" t="inlineStr"/>
      <c r="C26" s="9" t="inlineStr"/>
    </row>
    <row r="27">
      <c r="A27" s="9" t="inlineStr">
        <is>
          <t>Exactly 14 rental days planned; a 15th day (even partial) collapses the 280A(g) exclusion for the entire year.</t>
        </is>
      </c>
      <c r="B27" s="9" t="inlineStr"/>
      <c r="C27" s="9" t="inlineStr"/>
    </row>
    <row r="28">
      <c r="A28" s="9" t="inlineStr">
        <is>
          <t>Each meeting is 9:00-17:00, 8 attendees, documented business agenda; no overnight/personal/mixed use.</t>
        </is>
      </c>
      <c r="B28" s="9" t="inlineStr"/>
      <c r="C28" s="9" t="inlineStr"/>
    </row>
    <row r="29">
      <c r="A29" s="9" t="inlineStr">
        <is>
          <t>Comparables are dated ASKING rates, not completed arm's-length transactions.</t>
        </is>
      </c>
      <c r="B29" s="9" t="inlineStr"/>
      <c r="C29" s="9" t="inlineStr"/>
    </row>
    <row r="30">
      <c r="A30" s="9" t="inlineStr">
        <is>
          <t>Median is a frozen PLANNING benchmark, not a filed tax result; refresh quotes near implementation.</t>
        </is>
      </c>
      <c r="B30" s="9" t="inlineStr"/>
      <c r="C30" s="9" t="inlineStr"/>
    </row>
    <row r="31">
      <c r="A31" s="9" t="inlineStr">
        <is>
          <t>State/local lodging or sales taxes are outside this evaluation.</t>
        </is>
      </c>
      <c r="B31" s="9" t="inlineStr"/>
      <c r="C31" s="9" t="inlineStr"/>
    </row>
    <row r="32">
      <c r="A32" s="9" t="inlineStr">
        <is>
          <t>Written rental agreement, disinterested corporate action, per-event invoice, corporate-account payment required.</t>
        </is>
      </c>
      <c r="B32" s="9" t="inlineStr"/>
      <c r="C32" s="9" t="inlineStr"/>
    </row>
    <row r="34">
      <c r="A34" s="28" t="inlineStr">
        <is>
          <t>EVIDENCE GAPS / CONFIRMATIONS REQUIRED</t>
        </is>
      </c>
      <c r="B34" s="28" t="inlineStr"/>
      <c r="C34" s="28" t="inlineStr"/>
    </row>
    <row r="35">
      <c r="A35" s="9" t="inlineStr">
        <is>
          <t>Refresh comparable quotes before implementation (rates and availability change).</t>
        </is>
      </c>
      <c r="B35" s="9" t="inlineStr"/>
      <c r="C35" s="9" t="inlineStr"/>
    </row>
    <row r="36">
      <c r="A36" s="9" t="inlineStr">
        <is>
          <t>Comparability adjustments: capacity (CHI-02 seats 6 vs 8), amenities, taxes, booking fees, cancellation terms.</t>
        </is>
      </c>
      <c r="B36" s="9" t="inlineStr"/>
      <c r="C36" s="9" t="inlineStr"/>
    </row>
    <row r="37">
      <c r="A37" s="9" t="inlineStr">
        <is>
          <t>Tax adviser / CPA sign-off on rate support, business purpose, and reasonableness.</t>
        </is>
      </c>
      <c r="B37" s="9" t="inlineStr"/>
      <c r="C37" s="9" t="inlineStr"/>
    </row>
    <row r="38">
      <c r="A38" s="9" t="inlineStr">
        <is>
          <t>Payroll-provider confirmation if any portion is recharacterized as compensation.</t>
        </is>
      </c>
      <c r="B38" s="9" t="inlineStr"/>
      <c r="C38" s="9" t="inlineStr"/>
    </row>
    <row r="39">
      <c r="A39" s="9" t="inlineStr">
        <is>
          <t>Corporate-governance confirmation: disinterested-director / shareholder approval documented.</t>
        </is>
      </c>
      <c r="B39" s="9" t="inlineStr"/>
      <c r="C39" s="9" t="inlineStr"/>
    </row>
    <row r="40">
      <c r="A40" s="9" t="inlineStr">
        <is>
          <t>Confirm no other rental use of the residence occurs in 2026 (e.g., personal-platform rentals).</t>
        </is>
      </c>
      <c r="B40" s="9" t="inlineStr"/>
      <c r="C40" s="9" t="inlineStr"/>
    </row>
    <row r="41">
      <c r="A41" s="9" t="inlineStr">
        <is>
          <t>Strict day-count control: monitor cumulative rental days so the 14-day limit is not breached.</t>
        </is>
      </c>
      <c r="B41" s="9" t="inlineStr"/>
      <c r="C41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2026-08-25T00:30:42Z</dcterms:created>
  <dcterms:modified xmlns:dcterms="http://purl.org/dc/terms/" xmlns:xsi="http://www.w3.org/2001/XMLSchema-instance" xsi:type="dcterms:W3CDTF">2026-08-25T00:30:42Z</dcterms:modified>
</cp:coreProperties>
</file>