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Tax Cost Waterfall" sheetId="3" state="visible" r:id="rId3"/>
    <sheet xmlns:r="http://schemas.openxmlformats.org/officeDocument/2006/relationships" name="Interest Limitations" sheetId="4" state="visible" r:id="rId4"/>
    <sheet xmlns:r="http://schemas.openxmlformats.org/officeDocument/2006/relationships" name="Withholding Tax" sheetId="5" state="visible" r:id="rId5"/>
    <sheet xmlns:r="http://schemas.openxmlformats.org/officeDocument/2006/relationships" name="Effective Tax Rate" sheetId="6" state="visible" r:id="rId6"/>
    <sheet xmlns:r="http://schemas.openxmlformats.org/officeDocument/2006/relationships" name="Tax Attributes" sheetId="7" state="visible" r:id="rId7"/>
    <sheet xmlns:r="http://schemas.openxmlformats.org/officeDocument/2006/relationships" name="Pillar Two" sheetId="8" state="visible" r:id="rId8"/>
    <sheet xmlns:r="http://schemas.openxmlformats.org/officeDocument/2006/relationships" name="Debt Sourcing" sheetId="9" state="visible" r:id="rId9"/>
    <sheet xmlns:r="http://schemas.openxmlformats.org/officeDocument/2006/relationships" name="Risk Register" sheetId="10" state="visible" r:id="rId10"/>
    <sheet xmlns:r="http://schemas.openxmlformats.org/officeDocument/2006/relationships" name="Evidence Gaps" sheetId="11" state="visible" r:id="rId11"/>
  </sheets>
  <definedNames>
    <definedName name="EURSEK">Assumptions!$B$6</definedName>
    <definedName name="EURSGD">Assumptions!$B$7</definedName>
    <definedName name="SE_CIT">Assumptions!$C$11</definedName>
    <definedName name="DE_CIT">Assumptions!$C$12</definedName>
    <definedName name="NL_CIT">Assumptions!$C$13</definedName>
    <definedName name="SG_CIT">Assumptions!$C$16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%;(0.0%);&quot;-&quot;"/>
    <numFmt numFmtId="166" formatCode="#,##0;(#,##0);&quot;-&quot;"/>
    <numFmt numFmtId="167" formatCode="#,##0.0;(#,##0.0);&quot;-&quot;"/>
  </numFmts>
  <fonts count="15">
    <font>
      <name val="Calibri"/>
      <family val="2"/>
      <color theme="1"/>
      <sz val="11"/>
      <scheme val="minor"/>
    </font>
    <font>
      <b val="1"/>
      <color rgb="001F3864"/>
      <sz val="20"/>
    </font>
    <font>
      <b val="1"/>
      <color rgb="002E5496"/>
      <sz val="12"/>
    </font>
    <font>
      <name val="Calibri"/>
      <i val="1"/>
      <color rgb="00595959"/>
      <sz val="10"/>
    </font>
    <font>
      <name val="Calibri"/>
      <b val="1"/>
      <color rgb="001F3864"/>
      <sz val="11"/>
    </font>
    <font>
      <name val="Calibri"/>
      <b val="1"/>
      <sz val="11"/>
    </font>
    <font>
      <name val="Calibri"/>
      <sz val="11"/>
    </font>
    <font>
      <b val="1"/>
      <color rgb="00FFFFFF"/>
    </font>
    <font>
      <color rgb="00833C00"/>
      <sz val="10"/>
    </font>
    <font>
      <name val="Calibri"/>
      <b val="1"/>
      <color rgb="00FFFFFF"/>
      <sz val="16"/>
    </font>
    <font>
      <name val="Calibri"/>
      <i val="1"/>
      <color rgb="00FFFFFF"/>
      <sz val="10"/>
    </font>
    <font>
      <name val="Calibri"/>
      <b val="1"/>
      <color rgb="00FFFFFF"/>
      <sz val="11"/>
    </font>
    <font>
      <b val="1"/>
      <color rgb="000070C0"/>
    </font>
    <font>
      <name val="Calibri"/>
      <color rgb="00595959"/>
      <sz val="9"/>
    </font>
    <font>
      <color rgb="000070C0"/>
    </font>
  </fonts>
  <fills count="11">
    <fill>
      <patternFill/>
    </fill>
    <fill>
      <patternFill patternType="gray125"/>
    </fill>
    <fill>
      <patternFill patternType="solid">
        <fgColor rgb="00D6E0F0"/>
      </patternFill>
    </fill>
    <fill>
      <patternFill patternType="solid">
        <fgColor rgb="00C00000"/>
      </patternFill>
    </fill>
    <fill>
      <patternFill patternType="solid">
        <fgColor rgb="00FFE699"/>
      </patternFill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EAF0FA"/>
      </patternFill>
    </fill>
    <fill>
      <patternFill patternType="solid">
        <fgColor rgb="00548235"/>
      </patternFill>
    </fill>
    <fill>
      <patternFill patternType="solid">
        <fgColor rgb="00F8CBAD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6" fillId="0" borderId="0" pivotButton="0" quotePrefix="0" xfId="0"/>
    <xf numFmtId="0" fontId="9" fillId="5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/>
    </xf>
    <xf numFmtId="0" fontId="11" fillId="6" borderId="1" applyAlignment="1" pivotButton="0" quotePrefix="0" xfId="0">
      <alignment horizontal="center" vertical="center" wrapText="1"/>
    </xf>
    <xf numFmtId="164" fontId="12" fillId="7" borderId="0" pivotButton="0" quotePrefix="0" xfId="0"/>
    <xf numFmtId="0" fontId="13" fillId="0" borderId="0" pivotButton="0" quotePrefix="0" xfId="0"/>
    <xf numFmtId="165" fontId="14" fillId="7" borderId="0" pivotButton="0" quotePrefix="0" xfId="0"/>
    <xf numFmtId="165" fontId="0" fillId="0" borderId="0" pivotButton="0" quotePrefix="0" xfId="0"/>
    <xf numFmtId="166" fontId="12" fillId="7" borderId="0" pivotButton="0" quotePrefix="0" xfId="0"/>
    <xf numFmtId="167" fontId="12" fillId="7" borderId="0" pivotButton="0" quotePrefix="0" xfId="0"/>
    <xf numFmtId="0" fontId="7" fillId="6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167" fontId="6" fillId="0" borderId="0" pivotButton="0" quotePrefix="0" xfId="0"/>
    <xf numFmtId="167" fontId="5" fillId="0" borderId="0" pivotButton="0" quotePrefix="0" xfId="0"/>
    <xf numFmtId="0" fontId="5" fillId="2" borderId="0" pivotButton="0" quotePrefix="0" xfId="0"/>
    <xf numFmtId="167" fontId="5" fillId="2" borderId="0" pivotButton="0" quotePrefix="0" xfId="0"/>
    <xf numFmtId="0" fontId="7" fillId="8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 wrapText="1"/>
    </xf>
    <xf numFmtId="167" fontId="0" fillId="0" borderId="0" pivotButton="0" quotePrefix="0" xfId="0"/>
    <xf numFmtId="0" fontId="5" fillId="4" borderId="0" pivotButton="0" quotePrefix="0" xfId="0"/>
    <xf numFmtId="167" fontId="5" fillId="4" borderId="0" pivotButton="0" quotePrefix="0" xfId="0"/>
    <xf numFmtId="167" fontId="0" fillId="4" borderId="0" pivotButton="0" quotePrefix="0" xfId="0"/>
    <xf numFmtId="167" fontId="0" fillId="9" borderId="0" pivotButton="0" quotePrefix="0" xfId="0"/>
    <xf numFmtId="0" fontId="0" fillId="0" borderId="0" applyAlignment="1" pivotButton="0" quotePrefix="0" xfId="0">
      <alignment horizontal="center" vertical="center" wrapText="1"/>
    </xf>
    <xf numFmtId="167" fontId="0" fillId="10" borderId="0" pivotButton="0" quotePrefix="0" xfId="0"/>
    <xf numFmtId="0" fontId="11" fillId="3" borderId="1" applyAlignment="1" pivotButton="0" quotePrefix="0" xfId="0">
      <alignment horizontal="center" vertical="center" wrapText="1"/>
    </xf>
    <xf numFmtId="165" fontId="5" fillId="2" borderId="0" pivotButton="0" quotePrefix="0" xfId="0"/>
    <xf numFmtId="165" fontId="0" fillId="4" borderId="0" pivotButton="0" quotePrefix="0" xfId="0"/>
    <xf numFmtId="0" fontId="11" fillId="8" borderId="1" applyAlignment="1" pivotButton="0" quotePrefix="0" xfId="0">
      <alignment horizontal="center" vertical="center" wrapText="1"/>
    </xf>
    <xf numFmtId="167" fontId="5" fillId="10" borderId="0" pivotButton="0" quotePrefix="0" xfId="0"/>
    <xf numFmtId="0" fontId="5" fillId="9" borderId="0" pivotButton="0" quotePrefix="0" xfId="0"/>
    <xf numFmtId="0" fontId="5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horizontal="center" vertical="center" wrapText="1"/>
    </xf>
    <xf numFmtId="0" fontId="0" fillId="9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5" fillId="1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5" fillId="9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5" fillId="1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9" fillId="5" borderId="0" applyAlignment="1" pivotButton="0" quotePrefix="0" xfId="0">
      <alignment horizontal="left" vertical="center" wrapText="1"/>
    </xf>
    <xf numFmtId="0" fontId="10" fillId="6" borderId="0" applyAlignment="1" pivotButton="0" quotePrefix="0" xfId="0">
      <alignment horizontal="left" vertical="center" wrapText="1"/>
    </xf>
    <xf numFmtId="164" fontId="12" fillId="7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165" fontId="14" fillId="7" borderId="0" applyAlignment="1" pivotButton="0" quotePrefix="0" xfId="0">
      <alignment vertical="center" wrapText="1"/>
    </xf>
    <xf numFmtId="165" fontId="0" fillId="0" borderId="0" applyAlignment="1" pivotButton="0" quotePrefix="0" xfId="0">
      <alignment vertical="center" wrapText="1"/>
    </xf>
    <xf numFmtId="166" fontId="12" fillId="7" borderId="0" applyAlignment="1" pivotButton="0" quotePrefix="0" xfId="0">
      <alignment vertical="center" wrapText="1"/>
    </xf>
    <xf numFmtId="167" fontId="12" fillId="7" borderId="0" applyAlignment="1" pivotButton="0" quotePrefix="0" xfId="0">
      <alignment vertical="center" wrapText="1"/>
    </xf>
    <xf numFmtId="167" fontId="6" fillId="0" borderId="0" applyAlignment="1" pivotButton="0" quotePrefix="0" xfId="0">
      <alignment vertical="center" wrapText="1"/>
    </xf>
    <xf numFmtId="167" fontId="5" fillId="0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/>
    </xf>
    <xf numFmtId="167" fontId="5" fillId="2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7" fontId="5" fillId="4" borderId="0" applyAlignment="1" pivotButton="0" quotePrefix="0" xfId="0">
      <alignment vertical="center" wrapText="1"/>
    </xf>
    <xf numFmtId="167" fontId="0" fillId="4" borderId="0" applyAlignment="1" pivotButton="0" quotePrefix="0" xfId="0">
      <alignment vertical="center" wrapText="1"/>
    </xf>
    <xf numFmtId="167" fontId="0" fillId="9" borderId="0" applyAlignment="1" pivotButton="0" quotePrefix="0" xfId="0">
      <alignment vertical="center" wrapText="1"/>
    </xf>
    <xf numFmtId="167" fontId="0" fillId="10" borderId="0" applyAlignment="1" pivotButton="0" quotePrefix="0" xfId="0">
      <alignment vertical="center" wrapText="1"/>
    </xf>
    <xf numFmtId="165" fontId="5" fillId="2" borderId="0" applyAlignment="1" pivotButton="0" quotePrefix="0" xfId="0">
      <alignment vertical="center" wrapText="1"/>
    </xf>
    <xf numFmtId="165" fontId="0" fillId="4" borderId="0" applyAlignment="1" pivotButton="0" quotePrefix="0" xfId="0">
      <alignment vertical="center" wrapText="1"/>
    </xf>
    <xf numFmtId="167" fontId="5" fillId="10" borderId="0" applyAlignment="1" pivotButton="0" quotePrefix="0" xfId="0">
      <alignment vertical="center" wrapText="1"/>
    </xf>
    <xf numFmtId="0" fontId="5" fillId="9" borderId="0" applyAlignment="1" pivotButton="0" quotePrefix="0" xfId="0">
      <alignment vertical="center" wrapText="1"/>
    </xf>
    <xf numFmtId="0" fontId="5" fillId="1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left" vertical="center" wrapText="1"/>
    </xf>
    <xf numFmtId="0" fontId="11" fillId="6" borderId="1" applyAlignment="1" pivotButton="0" quotePrefix="0" xfId="0">
      <alignment horizontal="center"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43"/>
  <sheetViews>
    <sheetView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26" customWidth="1" min="3" max="3"/>
    <col width="26" customWidth="1" min="4" max="4"/>
    <col width="26" customWidth="1" min="5" max="5"/>
    <col width="20" customWidth="1" min="6" max="6"/>
    <col width="20" customWidth="1" min="7" max="7"/>
    <col width="20" customWidth="1" min="8" max="8"/>
  </cols>
  <sheetData>
    <row r="1" ht="15" customHeight="1"/>
    <row r="2" ht="32" customHeight="1">
      <c r="B2" s="52" t="inlineStr">
        <is>
          <t>TAX COST MODEL</t>
        </is>
      </c>
    </row>
    <row r="3" ht="15" customHeight="1">
      <c r="B3" s="53" t="inlineStr">
        <is>
          <t>Project Nordenvik — Cross-Border Acquisition by Meridian Capital Partners IV, L.P.</t>
        </is>
      </c>
    </row>
    <row r="4" ht="15" customHeight="1">
      <c r="B4" s="54" t="inlineStr">
        <is>
          <t>Supporting model to the Tax Structure Memorandum | Prepared by Hargrove &amp; Lund LLP, International Tax</t>
        </is>
      </c>
    </row>
    <row r="5" ht="15" customHeight="1"/>
    <row r="6" ht="15" customHeight="1"/>
    <row r="7" ht="15" customHeight="1">
      <c r="B7" s="55" t="inlineStr">
        <is>
          <t>Deal snapshot</t>
        </is>
      </c>
      <c r="C7" s="5" t="n"/>
      <c r="D7" s="5" t="n"/>
      <c r="E7" s="5" t="n"/>
      <c r="F7" s="5" t="n"/>
      <c r="G7" s="5" t="n"/>
      <c r="H7" s="5" t="n"/>
    </row>
    <row r="8" ht="15" customHeight="1">
      <c r="B8" s="56" t="inlineStr">
        <is>
          <t>Acquirer</t>
        </is>
      </c>
      <c r="C8" s="7" t="inlineStr">
        <is>
          <t>Meridian Capital Partners IV, L.P. (Delaware LP)</t>
        </is>
      </c>
    </row>
    <row r="9" ht="15" customHeight="1">
      <c r="B9" s="56" t="inlineStr">
        <is>
          <t>Acquisition chain</t>
        </is>
      </c>
      <c r="C9" s="7" t="inlineStr">
        <is>
          <t>Meridian Fund IV (US) → MCP HoldCo S.à r.l. (LU) → MCP BidCo BV (NL) → Nordenvik Group AB (SE)</t>
        </is>
      </c>
    </row>
    <row r="10" ht="15" customHeight="1">
      <c r="B10" s="56" t="inlineStr">
        <is>
          <t>Target</t>
        </is>
      </c>
      <c r="C10" s="7" t="inlineStr">
        <is>
          <t>Nordenvik Group AB (Sweden, reg. 556812-4471) — 100% share acquisition</t>
        </is>
      </c>
    </row>
    <row r="11" ht="15" customHeight="1">
      <c r="B11" s="56" t="inlineStr">
        <is>
          <t>Enterprise value</t>
        </is>
      </c>
      <c r="C11" s="7" t="inlineStr">
        <is>
          <t>EUR 285.0 M</t>
        </is>
      </c>
    </row>
    <row r="12" ht="15" customHeight="1">
      <c r="B12" s="56" t="inlineStr">
        <is>
          <t>Equity value</t>
        </is>
      </c>
      <c r="C12" s="7" t="inlineStr">
        <is>
          <t>EUR 223.0 M</t>
        </is>
      </c>
    </row>
    <row r="13" ht="15" customHeight="1">
      <c r="B13" s="56" t="inlineStr">
        <is>
          <t>Sellers</t>
        </is>
      </c>
      <c r="C13" s="7" t="inlineStr">
        <is>
          <t>Nordenvik Holding GmbH (60%), Lindqvist Family Trust (28%), Employee Stock Pool AB (12%)</t>
        </is>
      </c>
    </row>
    <row r="14" ht="15" customHeight="1">
      <c r="B14" s="56" t="inlineStr">
        <is>
          <t>Locked-box date</t>
        </is>
      </c>
      <c r="C14" s="7" t="inlineStr">
        <is>
          <t>30 June 2024</t>
        </is>
      </c>
    </row>
    <row r="15" ht="15" customHeight="1">
      <c r="B15" s="56" t="inlineStr">
        <is>
          <t>Target closing</t>
        </is>
      </c>
      <c r="C15" s="7" t="inlineStr">
        <is>
          <t>31 March 2025</t>
        </is>
      </c>
    </row>
    <row r="16" ht="15" customHeight="1">
      <c r="B16" s="56" t="inlineStr">
        <is>
          <t>Financing</t>
        </is>
      </c>
      <c r="C16" s="7" t="inlineStr">
        <is>
          <t>EUR 155.0 M Term Loan B (EURIBOR + 425 bps, 7-yr) + EUR 68.0 M equity + EUR 2.0 M fees</t>
        </is>
      </c>
    </row>
    <row r="17" ht="15" customHeight="1">
      <c r="B17" s="56" t="inlineStr">
        <is>
          <t>Hold thesis</t>
        </is>
      </c>
      <c r="C17" s="7" t="inlineStr">
        <is>
          <t>~5-year hold; target exit 2030 via IPO/strategic sale</t>
        </is>
      </c>
    </row>
    <row r="18" ht="15" customHeight="1"/>
    <row r="19" ht="15" customHeight="1">
      <c r="B19" s="56" t="inlineStr">
        <is>
          <t>Operating jurisdictions</t>
        </is>
      </c>
      <c r="C19" s="7" t="inlineStr">
        <is>
          <t>Sweden, Germany, Netherlands, Singapore (+ Luxembourg holding, US fund)</t>
        </is>
      </c>
    </row>
    <row r="20" ht="15" customHeight="1"/>
    <row r="21" ht="15" customHeight="1">
      <c r="B21" s="55" t="inlineStr">
        <is>
          <t>Model conventions</t>
        </is>
      </c>
      <c r="C21" s="5" t="n"/>
      <c r="D21" s="5" t="n"/>
      <c r="E21" s="5" t="n"/>
      <c r="F21" s="5" t="n"/>
      <c r="G21" s="5" t="n"/>
      <c r="H21" s="5" t="n"/>
    </row>
    <row r="22" ht="15" customHeight="1">
      <c r="B22" s="56" t="inlineStr">
        <is>
          <t>Reporting currency</t>
        </is>
      </c>
      <c r="C22" s="7" t="inlineStr">
        <is>
          <t>EUR</t>
        </is>
      </c>
    </row>
    <row r="23" ht="15" customHeight="1">
      <c r="B23" s="56" t="inlineStr">
        <is>
          <t>FX rates (budget)</t>
        </is>
      </c>
      <c r="C23" s="7" t="inlineStr">
        <is>
          <t>EUR/SEK 11.55 | EUR/SGD 1.47 | EUR/USD 1.08</t>
        </is>
      </c>
    </row>
    <row r="24" ht="15" customHeight="1">
      <c r="B24" s="56" t="inlineStr">
        <is>
          <t>Projection period</t>
        </is>
      </c>
      <c r="C24" s="7" t="inlineStr">
        <is>
          <t>FY2025 – FY2030</t>
        </is>
      </c>
    </row>
    <row r="25" ht="15" customHeight="1">
      <c r="B25" s="56" t="inlineStr">
        <is>
          <t>Status</t>
        </is>
      </c>
      <c r="C25" s="7" t="inlineStr">
        <is>
          <t>DRAFT for IC / CPA &amp; local-counsel review — not a legal opinion</t>
        </is>
      </c>
    </row>
    <row r="26" ht="15" customHeight="1"/>
    <row r="27" ht="15" customHeight="1">
      <c r="B27" s="8" t="inlineStr">
        <is>
          <t>CRITICAL MODEL CORRECTIONS FLAGGED IN THIS WORKBOOK</t>
        </is>
      </c>
    </row>
    <row r="28" ht="15" customHeight="1">
      <c r="B28" s="9" t="inlineStr">
        <is>
          <t>1. Singapore: financial model (Doc 4/5) applies 5% Pioneer rate; Pioneer Status expired 31 Dec 2023 — 17% applies from 1 Jan 2024. Corrected here.</t>
        </is>
      </c>
    </row>
    <row r="29" ht="30" customHeight="1">
      <c r="B29" s="9" t="inlineStr">
        <is>
          <t>2. Sweden interest limitation: model uses CONSOLIDATED EBITDA (SEK 478M → SEK 0 disallowance); Swedish opinion uses STANDALONE entity EBITDA (SEK 380–420M → SEK 2–14M/yr disallowance). Corrected here.</t>
        </is>
      </c>
    </row>
    <row r="30" ht="15" customHeight="1">
      <c r="B30" s="9" t="inlineStr">
        <is>
          <t>3. German §8c: model assumes FULL forfeiture of EUR 24.0M losses (EUR 3.8M tax value); Stille Reserven analysis NOT yet performed — potential partial preservation.</t>
        </is>
      </c>
    </row>
    <row r="31" ht="15" customHeight="1">
      <c r="B31" s="9" t="inlineStr">
        <is>
          <t>4. Entity register inconsistencies across source docs (see 'Evidence Gaps' tab) — figures use the most authoritative source per item.</t>
        </is>
      </c>
    </row>
    <row r="32" ht="15" customHeight="1"/>
    <row r="33" ht="15" customHeight="1">
      <c r="B33" s="57" t="inlineStr">
        <is>
          <t>Workbook contents</t>
        </is>
      </c>
    </row>
    <row r="34" ht="15" customHeight="1">
      <c r="B34" s="56" t="inlineStr">
        <is>
          <t>Assumptions</t>
        </is>
      </c>
      <c r="C34" s="58" t="inlineStr">
        <is>
          <t>FX, tax rates, key inputs (input cells in blue)</t>
        </is>
      </c>
    </row>
    <row r="35" ht="15" customHeight="1">
      <c r="B35" s="56" t="inlineStr">
        <is>
          <t>Tax Cost Waterfall</t>
        </is>
      </c>
      <c r="C35" s="58" t="inlineStr">
        <is>
          <t>Cash tax by jurisdiction FY2025–2030 — as-modeled vs corrected</t>
        </is>
      </c>
    </row>
    <row r="36" ht="15" customHeight="1">
      <c r="B36" s="56" t="inlineStr">
        <is>
          <t>Interest Limitations</t>
        </is>
      </c>
      <c r="C36" s="58" t="inlineStr">
        <is>
          <t>Sweden EBITDA rule &amp; German Zinsschranke detailed calcs</t>
        </is>
      </c>
    </row>
    <row r="37" ht="15" customHeight="1">
      <c r="B37" s="56" t="inlineStr">
        <is>
          <t>Withholding Tax</t>
        </is>
      </c>
      <c r="C37" s="58" t="inlineStr">
        <is>
          <t>Intercompany flow matrix + substance-challenge sensitivity</t>
        </is>
      </c>
    </row>
    <row r="38" ht="15" customHeight="1">
      <c r="B38" s="56" t="inlineStr">
        <is>
          <t>Effective Tax Rate</t>
        </is>
      </c>
      <c r="C38" s="58" t="inlineStr">
        <is>
          <t>Blended group ETR, ETR by jurisdiction, base vs optimized</t>
        </is>
      </c>
    </row>
    <row r="39" ht="15" customHeight="1">
      <c r="B39" s="56" t="inlineStr">
        <is>
          <t>Tax Attributes</t>
        </is>
      </c>
      <c r="C39" s="58" t="inlineStr">
        <is>
          <t>Swedish NOL, German §8c losses, DTAs, fiscal-unity benefit</t>
        </is>
      </c>
    </row>
    <row r="40" ht="15" customHeight="1">
      <c r="B40" s="56" t="inlineStr">
        <is>
          <t>Pillar Two</t>
        </is>
      </c>
      <c r="C40" s="58" t="inlineStr">
        <is>
          <t>GloBE scope, illustrative top-up tax pro forma</t>
        </is>
      </c>
    </row>
    <row r="41" ht="15" customHeight="1">
      <c r="B41" s="56" t="inlineStr">
        <is>
          <t>Debt Sourcing</t>
        </is>
      </c>
      <c r="C41" s="58" t="inlineStr">
        <is>
          <t>Debt-pushdown structural options comparison</t>
        </is>
      </c>
    </row>
    <row r="42" ht="15" customHeight="1">
      <c r="B42" s="56" t="inlineStr">
        <is>
          <t>Risk Register</t>
        </is>
      </c>
      <c r="C42" s="58" t="inlineStr">
        <is>
          <t>Quantified tax risks, probability, expected value</t>
        </is>
      </c>
    </row>
    <row r="43" ht="15" customHeight="1">
      <c r="B43" s="56" t="inlineStr">
        <is>
          <t>Evidence Gaps</t>
        </is>
      </c>
      <c r="C43" s="58" t="inlineStr">
        <is>
          <t>Source-document inconsistencies &amp; open factual gaps</t>
        </is>
      </c>
    </row>
  </sheetData>
  <mergeCells count="33">
    <mergeCell ref="C25:H25"/>
    <mergeCell ref="C41:H41"/>
    <mergeCell ref="C16:H16"/>
    <mergeCell ref="C10:H10"/>
    <mergeCell ref="C22:H22"/>
    <mergeCell ref="C40:H40"/>
    <mergeCell ref="C9:H9"/>
    <mergeCell ref="B30:H30"/>
    <mergeCell ref="C43:H43"/>
    <mergeCell ref="C12:H12"/>
    <mergeCell ref="C11:H11"/>
    <mergeCell ref="C36:H36"/>
    <mergeCell ref="B4:H4"/>
    <mergeCell ref="C23:H23"/>
    <mergeCell ref="C39:H39"/>
    <mergeCell ref="C8:H8"/>
    <mergeCell ref="C17:H17"/>
    <mergeCell ref="B3:H3"/>
    <mergeCell ref="B31:H31"/>
    <mergeCell ref="C38:H38"/>
    <mergeCell ref="C19:H19"/>
    <mergeCell ref="B27:H27"/>
    <mergeCell ref="C13:H13"/>
    <mergeCell ref="C37:H37"/>
    <mergeCell ref="B2:H2"/>
    <mergeCell ref="C34:H34"/>
    <mergeCell ref="C15:H15"/>
    <mergeCell ref="C24:H24"/>
    <mergeCell ref="C42:H42"/>
    <mergeCell ref="C14:H14"/>
    <mergeCell ref="C35:H35"/>
    <mergeCell ref="B29:H29"/>
    <mergeCell ref="B28:H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4" customWidth="1" min="9" max="9"/>
  </cols>
  <sheetData>
    <row r="1" ht="28" customHeight="1">
      <c r="A1" s="59" t="inlineStr">
        <is>
          <t>ASSUMPTIONS &amp; KEY INPUTS</t>
        </is>
      </c>
    </row>
    <row r="2" ht="18" customHeight="1">
      <c r="A2" s="60" t="inlineStr">
        <is>
          <t>Blue cells = input | Grey = reference | Calculated cells use formulas. Sources cited in notes.</t>
        </is>
      </c>
    </row>
    <row r="3" ht="15" customHeight="1"/>
    <row r="4" ht="30" customHeight="1">
      <c r="B4" s="57" t="inlineStr">
        <is>
          <t>A. Exchange rates (budget)</t>
        </is>
      </c>
    </row>
    <row r="5" ht="15" customHeight="1">
      <c r="A5" s="14" t="inlineStr">
        <is>
          <t>Pair</t>
        </is>
      </c>
      <c r="B5" s="14" t="inlineStr">
        <is>
          <t>Rate</t>
        </is>
      </c>
      <c r="C5" s="14" t="n"/>
      <c r="D5" s="14" t="n"/>
      <c r="E5" s="14" t="n"/>
      <c r="F5" s="14" t="n"/>
      <c r="G5" s="14" t="n"/>
      <c r="H5" s="14" t="n"/>
      <c r="I5" s="14" t="inlineStr">
        <is>
          <t>Source</t>
        </is>
      </c>
    </row>
    <row r="6" ht="15" customHeight="1">
      <c r="A6" s="56" t="inlineStr">
        <is>
          <t>EUR/SEK</t>
        </is>
      </c>
      <c r="B6" s="61" t="n">
        <v>11.55</v>
      </c>
      <c r="I6" s="62" t="inlineStr">
        <is>
          <t>Doc 2/3/4 budget rate</t>
        </is>
      </c>
    </row>
    <row r="7" ht="15" customHeight="1">
      <c r="A7" s="56" t="inlineStr">
        <is>
          <t>EUR/SGD</t>
        </is>
      </c>
      <c r="B7" s="61" t="n">
        <v>1.47</v>
      </c>
      <c r="I7" s="62" t="inlineStr">
        <is>
          <t>Doc 2/3/4 budget rate</t>
        </is>
      </c>
    </row>
    <row r="8" ht="15" customHeight="1">
      <c r="A8" s="56" t="inlineStr">
        <is>
          <t>EUR/USD</t>
        </is>
      </c>
      <c r="B8" s="61" t="n">
        <v>1.08</v>
      </c>
      <c r="I8" s="62" t="inlineStr">
        <is>
          <t>Doc 2/3/4 budget rate</t>
        </is>
      </c>
    </row>
    <row r="9" ht="15" customHeight="1"/>
    <row r="10" ht="30" customHeight="1">
      <c r="B10" s="57" t="inlineStr">
        <is>
          <t>B. Statutory / headline tax rates</t>
        </is>
      </c>
    </row>
    <row r="11" ht="15" customHeight="1">
      <c r="A11" s="14" t="inlineStr">
        <is>
          <t>Jurisdiction</t>
        </is>
      </c>
      <c r="B11" s="14" t="inlineStr">
        <is>
          <t>Entity</t>
        </is>
      </c>
      <c r="C11" s="14" t="inlineStr">
        <is>
          <t>CIT rate</t>
        </is>
      </c>
      <c r="D11" s="14" t="inlineStr">
        <is>
          <t>Div WHT up</t>
        </is>
      </c>
      <c r="E11" s="14" t="inlineStr">
        <is>
          <t>Roy WHT out</t>
        </is>
      </c>
      <c r="F11" s="14" t="inlineStr">
        <is>
          <t>Int WHT out</t>
        </is>
      </c>
      <c r="G11" s="14" t="n"/>
      <c r="H11" s="14" t="inlineStr">
        <is>
          <t>Authority</t>
        </is>
      </c>
      <c r="I11" s="14" t="n"/>
    </row>
    <row r="12" ht="15" customHeight="1">
      <c r="A12" s="56" t="inlineStr">
        <is>
          <t>Sweden</t>
        </is>
      </c>
      <c r="B12" s="58" t="inlineStr">
        <is>
          <t>Nordenvik Group AB</t>
        </is>
      </c>
      <c r="C12" s="63" t="n">
        <v>0.206</v>
      </c>
      <c r="D12" s="64" t="n">
        <v>0</v>
      </c>
      <c r="F12" s="64" t="n">
        <v>0</v>
      </c>
      <c r="I12" s="62" t="inlineStr">
        <is>
          <t>65 kap. 10 § IL; SE-NL treaty Art. 10</t>
        </is>
      </c>
    </row>
    <row r="13" ht="30" customHeight="1">
      <c r="A13" s="56" t="inlineStr">
        <is>
          <t>Germany (Munich)</t>
        </is>
      </c>
      <c r="B13" s="58" t="inlineStr">
        <is>
          <t>Nordenvik Deutschland GmbH</t>
        </is>
      </c>
      <c r="C13" s="63" t="n">
        <v>0.3298</v>
      </c>
      <c r="D13" s="64" t="n">
        <v>0</v>
      </c>
      <c r="E13" s="64" t="n">
        <v>0</v>
      </c>
      <c r="F13" s="64" t="n">
        <v>0</v>
      </c>
      <c r="I13" s="62" t="inlineStr">
        <is>
          <t>KSt 15% + SolZ 0.825% + GewSt 17.15% (Hebesatz 490%)</t>
        </is>
      </c>
    </row>
    <row r="14" ht="15" customHeight="1">
      <c r="A14" s="56" t="inlineStr">
        <is>
          <t>Netherlands</t>
        </is>
      </c>
      <c r="B14" s="58" t="inlineStr">
        <is>
          <t>MCP BidCo BV</t>
        </is>
      </c>
      <c r="C14" s="63" t="n">
        <v>0.258</v>
      </c>
      <c r="D14" s="64" t="n">
        <v>0</v>
      </c>
      <c r="I14" s="62" t="inlineStr">
        <is>
          <t>Wet VPB; NL-LU treaty / EU PSD</t>
        </is>
      </c>
    </row>
    <row r="15" ht="30" customHeight="1">
      <c r="A15" s="56" t="inlineStr">
        <is>
          <t>Netherlands</t>
        </is>
      </c>
      <c r="B15" s="58" t="inlineStr">
        <is>
          <t>Nordenvik BV (IP)</t>
        </is>
      </c>
      <c r="C15" s="63" t="n">
        <v>0.258</v>
      </c>
      <c r="D15" s="64" t="n">
        <v>0</v>
      </c>
      <c r="I15" s="62" t="inlineStr">
        <is>
          <t>Innovation Box 9% on qualifying IP (conditional)</t>
        </is>
      </c>
    </row>
    <row r="16" ht="15" customHeight="1">
      <c r="A16" s="56" t="inlineStr">
        <is>
          <t>Luxembourg</t>
        </is>
      </c>
      <c r="B16" s="58" t="inlineStr">
        <is>
          <t>MCP HoldCo S.à r.l.</t>
        </is>
      </c>
      <c r="C16" s="63" t="n">
        <v>0</v>
      </c>
      <c r="D16" s="64" t="n">
        <v>0</v>
      </c>
      <c r="I16" s="62" t="inlineStr">
        <is>
          <t>Art. 166 LIR participation exemption</t>
        </is>
      </c>
    </row>
    <row r="17" ht="30" customHeight="1">
      <c r="A17" s="56" t="inlineStr">
        <is>
          <t>Singapore</t>
        </is>
      </c>
      <c r="B17" s="58" t="inlineStr">
        <is>
          <t>Nordenvik Asia Pte. Ltd.</t>
        </is>
      </c>
      <c r="C17" s="63" t="n">
        <v>0.17</v>
      </c>
      <c r="D17" s="64" t="n">
        <v>0</v>
      </c>
      <c r="E17" s="64" t="n">
        <v>0</v>
      </c>
      <c r="I17" s="62" t="inlineStr">
        <is>
          <t>ITA s.43; Pioneer expired 31 Dec 2023</t>
        </is>
      </c>
    </row>
    <row r="18" ht="30" customHeight="1">
      <c r="A18" s="56" t="inlineStr">
        <is>
          <t>United States</t>
        </is>
      </c>
      <c r="B18" s="58" t="inlineStr">
        <is>
          <t>Meridian Fund IV LP</t>
        </is>
      </c>
      <c r="C18" s="17" t="n"/>
      <c r="I18" s="62" t="inlineStr">
        <is>
          <t>Pass-through; LP-level ECI/UBTI analysis</t>
        </is>
      </c>
    </row>
    <row r="19" ht="60" customHeight="1">
      <c r="B19" s="54" t="inlineStr">
        <is>
          <t>Note: Singapore 17% applied here (corrected). Doc 4/5 model erroneously uses 5%.</t>
        </is>
      </c>
    </row>
    <row r="20" ht="15" customHeight="1"/>
    <row r="21" ht="15" customHeight="1">
      <c r="B21" s="57" t="inlineStr">
        <is>
          <t>C. Financing inputs</t>
        </is>
      </c>
    </row>
    <row r="22" ht="30" customHeight="1">
      <c r="B22" s="58" t="inlineStr">
        <is>
          <t>Term Loan B principal (EUR M)</t>
        </is>
      </c>
      <c r="C22" s="65" t="n">
        <v>155</v>
      </c>
      <c r="I22" s="62" t="inlineStr">
        <is>
          <t>Doc 21</t>
        </is>
      </c>
    </row>
    <row r="23" ht="30" customHeight="1">
      <c r="B23" s="58" t="inlineStr">
        <is>
          <t>TLB spread (bps over EURIBOR)</t>
        </is>
      </c>
      <c r="C23" s="65" t="n">
        <v>425</v>
      </c>
      <c r="I23" s="62" t="inlineStr">
        <is>
          <t>Doc 21</t>
        </is>
      </c>
    </row>
    <row r="24" ht="15" customHeight="1">
      <c r="B24" s="58" t="inlineStr">
        <is>
          <t>TLB tenor (years)</t>
        </is>
      </c>
      <c r="C24" s="65" t="n">
        <v>7</v>
      </c>
      <c r="I24" s="62" t="inlineStr">
        <is>
          <t>Doc 21</t>
        </is>
      </c>
    </row>
    <row r="25" ht="30" customHeight="1">
      <c r="B25" s="58" t="inlineStr">
        <is>
          <t>Year 1 blended all-in rate</t>
        </is>
      </c>
      <c r="C25" s="66" t="n">
        <v>0.06900000000000001</v>
      </c>
      <c r="I25" s="62" t="inlineStr">
        <is>
          <t>Doc 4 (~EURIBOR 3.75% + 425bps; avg balance)</t>
        </is>
      </c>
    </row>
    <row r="26" ht="30" customHeight="1">
      <c r="B26" s="58" t="inlineStr">
        <is>
          <t>Sponsor equity (EUR M)</t>
        </is>
      </c>
      <c r="C26" s="65" t="n">
        <v>68</v>
      </c>
      <c r="I26" s="62" t="inlineStr">
        <is>
          <t>Doc 4/21</t>
        </is>
      </c>
    </row>
    <row r="27" ht="30" customHeight="1">
      <c r="B27" s="58" t="inlineStr">
        <is>
          <t>Transaction fees (EUR M)</t>
        </is>
      </c>
      <c r="C27" s="65" t="n">
        <v>2</v>
      </c>
      <c r="I27" s="62" t="inlineStr">
        <is>
          <t>Doc 4</t>
        </is>
      </c>
    </row>
    <row r="28" ht="30" customHeight="1">
      <c r="B28" s="58" t="inlineStr">
        <is>
          <t>Year 1 TLB interest expense (EUR M)</t>
        </is>
      </c>
      <c r="C28" s="65" t="n">
        <v>10.7</v>
      </c>
      <c r="I28" s="62" t="inlineStr">
        <is>
          <t>Doc 3/4/5</t>
        </is>
      </c>
    </row>
    <row r="29" ht="45" customHeight="1">
      <c r="B29" s="58" t="inlineStr">
        <is>
          <t>On-lent intercompany interest — Sweden (SEK M)</t>
        </is>
      </c>
      <c r="C29" s="65" t="n">
        <v>128</v>
      </c>
      <c r="I29" s="62" t="inlineStr">
        <is>
          <t>Doc 7; ~EUR 11.1M</t>
        </is>
      </c>
    </row>
    <row r="30" ht="45" customHeight="1">
      <c r="B30" s="58" t="inlineStr">
        <is>
          <t>German intercompany net interest (EUR M)</t>
        </is>
      </c>
      <c r="C30" s="65" t="n">
        <v>4.1</v>
      </c>
      <c r="I30" s="62" t="inlineStr">
        <is>
          <t>Doc 8 / Doc 5</t>
        </is>
      </c>
    </row>
    <row r="31" ht="15" customHeight="1"/>
    <row r="32" ht="15" customHeight="1">
      <c r="B32" s="57" t="inlineStr">
        <is>
          <t>D. Tax attributes</t>
        </is>
      </c>
    </row>
    <row r="33" ht="30" customHeight="1">
      <c r="B33" s="58" t="inlineStr">
        <is>
          <t>Swedish NOL carryforward (SEK M)</t>
        </is>
      </c>
      <c r="C33" s="66" t="n">
        <v>187</v>
      </c>
      <c r="I33" s="62" t="inlineStr">
        <is>
          <t>Doc 14; survives share deal (40 kap. IL)</t>
        </is>
      </c>
    </row>
    <row r="34" ht="15" customHeight="1">
      <c r="B34" s="58" t="inlineStr">
        <is>
          <t>Swedish DTA (SEK M)</t>
        </is>
      </c>
      <c r="C34" s="66" t="n">
        <v>38.5</v>
      </c>
      <c r="I34" s="62" t="inlineStr">
        <is>
          <t>187 × 20.6%</t>
        </is>
      </c>
    </row>
    <row r="35" ht="30" customHeight="1">
      <c r="B35" s="58" t="inlineStr">
        <is>
          <t>German KSt loss CF (EUR M)</t>
        </is>
      </c>
      <c r="C35" s="66" t="n">
        <v>14.2</v>
      </c>
      <c r="I35" s="62" t="inlineStr">
        <is>
          <t>Doc 15; forfeit under §8c absent Stille Reserven</t>
        </is>
      </c>
    </row>
    <row r="36" ht="30" customHeight="1">
      <c r="B36" s="58" t="inlineStr">
        <is>
          <t>German GewSt loss CF (EUR M)</t>
        </is>
      </c>
      <c r="C36" s="66" t="n">
        <v>9.800000000000001</v>
      </c>
      <c r="I36" s="62" t="inlineStr">
        <is>
          <t>Doc 15; forfeit under §8c absent Stille Reserven</t>
        </is>
      </c>
    </row>
    <row r="37" ht="30" customHeight="1">
      <c r="B37" s="58" t="inlineStr">
        <is>
          <t>German §8c tax value at risk (EUR M)</t>
        </is>
      </c>
      <c r="C37" s="66" t="n">
        <v>3.8</v>
      </c>
      <c r="I37" s="62" t="inlineStr">
        <is>
          <t>Doc 8 §3.4</t>
        </is>
      </c>
    </row>
    <row r="38" ht="45" customHeight="1">
      <c r="B38" s="58" t="inlineStr">
        <is>
          <t>German audit contingent — FY19-21 (EUR M)</t>
        </is>
      </c>
      <c r="C38" s="66" t="n">
        <v>2.4</v>
      </c>
      <c r="I38" s="62" t="inlineStr">
        <is>
          <t>€2.1M assessment + €0.3M interest; under appeal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34" customWidth="1" min="10" max="10"/>
  </cols>
  <sheetData>
    <row r="1" ht="28" customHeight="1">
      <c r="A1" s="59" t="inlineStr">
        <is>
          <t>TAX COST WATERFALL BY JURISDICTION (EUR M)</t>
        </is>
      </c>
    </row>
    <row r="2" ht="18" customHeight="1">
      <c r="A2" s="60" t="inlineStr">
        <is>
          <t>FY2025–FY2030. 'As-modeled' reflects Doc 5 (with Singapore 5% error). 'Corrected' applies Singapore 17% and Swedish standalone-EBITDA interest disallowance.</t>
        </is>
      </c>
    </row>
    <row r="3" ht="15" customHeight="1"/>
    <row r="4" ht="24" customHeight="1">
      <c r="B4" s="21" t="inlineStr">
        <is>
          <t>A. AS-MODELED (per Doc 5 — contains known errors)</t>
        </is>
      </c>
    </row>
    <row r="5" ht="15" customHeight="1">
      <c r="A5" s="14" t="inlineStr">
        <is>
          <t>Jurisdiction</t>
        </is>
      </c>
      <c r="B5" s="14" t="inlineStr">
        <is>
          <t>Rate</t>
        </is>
      </c>
      <c r="C5" s="14" t="inlineStr">
        <is>
          <t>FY2025</t>
        </is>
      </c>
      <c r="D5" s="14" t="inlineStr">
        <is>
          <t>FY2026</t>
        </is>
      </c>
      <c r="E5" s="14" t="inlineStr">
        <is>
          <t>FY2027</t>
        </is>
      </c>
      <c r="F5" s="14" t="inlineStr">
        <is>
          <t>FY2028</t>
        </is>
      </c>
      <c r="G5" s="14" t="inlineStr">
        <is>
          <t>FY2029</t>
        </is>
      </c>
      <c r="H5" s="14" t="inlineStr">
        <is>
          <t>FY2030</t>
        </is>
      </c>
      <c r="I5" s="14" t="inlineStr">
        <is>
          <t>6-yr Total</t>
        </is>
      </c>
      <c r="J5" s="14" t="inlineStr">
        <is>
          <t>Source</t>
        </is>
      </c>
    </row>
    <row r="6" ht="15" customHeight="1">
      <c r="A6" s="58" t="inlineStr">
        <is>
          <t>Sweden — Nordenvik Group AB</t>
        </is>
      </c>
      <c r="B6" s="22" t="inlineStr">
        <is>
          <t>20.6%</t>
        </is>
      </c>
      <c r="C6" s="67" t="n">
        <v>2</v>
      </c>
      <c r="D6" s="67" t="n">
        <v>2.81</v>
      </c>
      <c r="E6" s="67" t="n">
        <v>4.55</v>
      </c>
      <c r="F6" s="67" t="n">
        <v>5.44</v>
      </c>
      <c r="G6" s="67" t="n">
        <v>6.06</v>
      </c>
      <c r="H6" s="67" t="n">
        <v>6.74</v>
      </c>
      <c r="I6" s="68">
        <f>SUM(C6:H6)</f>
        <v/>
      </c>
    </row>
    <row r="7" ht="15" customHeight="1">
      <c r="A7" s="58" t="inlineStr">
        <is>
          <t>Germany — Nordenvik Deutschland GmbH</t>
        </is>
      </c>
      <c r="B7" s="22" t="inlineStr">
        <is>
          <t>32.98%</t>
        </is>
      </c>
      <c r="C7" s="67" t="n">
        <v>0.19</v>
      </c>
      <c r="D7" s="67" t="n">
        <v>0.43</v>
      </c>
      <c r="E7" s="67" t="n">
        <v>0.67</v>
      </c>
      <c r="F7" s="67" t="n">
        <v>0.93</v>
      </c>
      <c r="G7" s="67" t="n">
        <v>1.2</v>
      </c>
      <c r="H7" s="67" t="n">
        <v>1.49</v>
      </c>
      <c r="I7" s="68">
        <f>SUM(C7:H7)</f>
        <v/>
      </c>
    </row>
    <row r="8" ht="15" customHeight="1">
      <c r="A8" s="58" t="inlineStr">
        <is>
          <t>Netherlands — fiscal unity (BidCo+BV)</t>
        </is>
      </c>
      <c r="B8" s="22" t="inlineStr">
        <is>
          <t>25.8%</t>
        </is>
      </c>
      <c r="C8" s="67" t="n">
        <v>1.6</v>
      </c>
      <c r="D8" s="67" t="n">
        <v>1.91</v>
      </c>
      <c r="E8" s="67" t="n">
        <v>2.23</v>
      </c>
      <c r="F8" s="67" t="n">
        <v>2.57</v>
      </c>
      <c r="G8" s="67" t="n">
        <v>2.92</v>
      </c>
      <c r="H8" s="67" t="n">
        <v>3.28</v>
      </c>
      <c r="I8" s="68">
        <f>SUM(C8:H8)</f>
        <v/>
      </c>
    </row>
    <row r="9" ht="15" customHeight="1">
      <c r="A9" s="58" t="inlineStr">
        <is>
          <t>Singapore — Nordenvik Asia Pte. Ltd.</t>
        </is>
      </c>
      <c r="B9" s="22" t="inlineStr">
        <is>
          <t>see note</t>
        </is>
      </c>
      <c r="C9" s="67" t="n">
        <v>0.19</v>
      </c>
      <c r="D9" s="67" t="n">
        <v>0.2</v>
      </c>
      <c r="E9" s="67" t="n">
        <v>0.23</v>
      </c>
      <c r="F9" s="67" t="n">
        <v>0.25</v>
      </c>
      <c r="G9" s="67" t="n">
        <v>0.27</v>
      </c>
      <c r="H9" s="67" t="n">
        <v>0.29</v>
      </c>
      <c r="I9" s="68">
        <f>SUM(C9:H9)</f>
        <v/>
      </c>
    </row>
    <row r="10" ht="15" customHeight="1">
      <c r="A10" s="69" t="inlineStr">
        <is>
          <t>TOTAL GROUP CASH TAX</t>
        </is>
      </c>
      <c r="C10" s="70">
        <f>SUM(C6:C9)</f>
        <v/>
      </c>
      <c r="D10" s="70">
        <f>SUM(D6:D9)</f>
        <v/>
      </c>
      <c r="E10" s="70">
        <f>SUM(E6:E9)</f>
        <v/>
      </c>
      <c r="F10" s="70">
        <f>SUM(F6:F9)</f>
        <v/>
      </c>
      <c r="G10" s="70">
        <f>SUM(G6:G9)</f>
        <v/>
      </c>
      <c r="H10" s="70">
        <f>SUM(H6:H9)</f>
        <v/>
      </c>
      <c r="I10" s="70">
        <f>SUM(I6:I9)</f>
        <v/>
      </c>
    </row>
    <row r="11" ht="30" customHeight="1">
      <c r="B11" s="54" t="inlineStr">
        <is>
          <t>Per Doc 5 Section 1.5. Singapore at 5% Pioneer rate (EXPIRED — error). Swedish interest disallowance shown as zero (uses consolidated EBITDA — error).</t>
        </is>
      </c>
    </row>
    <row r="12" ht="15" customHeight="1"/>
    <row r="13" ht="24" customHeight="1">
      <c r="B13" s="27" t="inlineStr">
        <is>
          <t>B. CORRECTED (Singapore 17% + Swedish standalone-EBITDA interest disallowance, mid-case)</t>
        </is>
      </c>
    </row>
    <row r="14" ht="15" customHeight="1">
      <c r="A14" s="14" t="inlineStr">
        <is>
          <t>Jurisdiction</t>
        </is>
      </c>
      <c r="B14" s="14" t="inlineStr">
        <is>
          <t>Rate</t>
        </is>
      </c>
      <c r="C14" s="14" t="inlineStr">
        <is>
          <t>FY2025</t>
        </is>
      </c>
      <c r="D14" s="14" t="inlineStr">
        <is>
          <t>FY2026</t>
        </is>
      </c>
      <c r="E14" s="14" t="inlineStr">
        <is>
          <t>FY2027</t>
        </is>
      </c>
      <c r="F14" s="14" t="inlineStr">
        <is>
          <t>FY2028</t>
        </is>
      </c>
      <c r="G14" s="14" t="inlineStr">
        <is>
          <t>FY2029</t>
        </is>
      </c>
      <c r="H14" s="14" t="inlineStr">
        <is>
          <t>FY2030</t>
        </is>
      </c>
      <c r="I14" s="14" t="inlineStr">
        <is>
          <t>6-yr Total</t>
        </is>
      </c>
      <c r="J14" s="14" t="inlineStr">
        <is>
          <t>Source</t>
        </is>
      </c>
    </row>
    <row r="15" ht="15" customHeight="1">
      <c r="A15" s="58" t="inlineStr">
        <is>
          <t>Sweden — Nordenvik Group AB</t>
        </is>
      </c>
      <c r="B15" s="22" t="inlineStr">
        <is>
          <t>20.6%</t>
        </is>
      </c>
      <c r="C15" s="67" t="n">
        <v>2.25</v>
      </c>
      <c r="D15" s="67" t="n">
        <v>3.01</v>
      </c>
      <c r="E15" s="67" t="n">
        <v>4.69</v>
      </c>
      <c r="F15" s="67" t="n">
        <v>5.53</v>
      </c>
      <c r="G15" s="67" t="n">
        <v>6.1</v>
      </c>
      <c r="H15" s="67" t="n">
        <v>6.74</v>
      </c>
      <c r="I15" s="68">
        <f>SUM(C15:H15)</f>
        <v/>
      </c>
    </row>
    <row r="16" ht="15" customHeight="1">
      <c r="A16" s="58" t="inlineStr">
        <is>
          <t>Germany — Nordenvik Deutschland GmbH</t>
        </is>
      </c>
      <c r="B16" s="22" t="inlineStr">
        <is>
          <t>32.98%</t>
        </is>
      </c>
      <c r="C16" s="67" t="n">
        <v>0.19</v>
      </c>
      <c r="D16" s="67" t="n">
        <v>0.43</v>
      </c>
      <c r="E16" s="67" t="n">
        <v>0.67</v>
      </c>
      <c r="F16" s="67" t="n">
        <v>0.93</v>
      </c>
      <c r="G16" s="67" t="n">
        <v>1.2</v>
      </c>
      <c r="H16" s="67" t="n">
        <v>1.49</v>
      </c>
      <c r="I16" s="68">
        <f>SUM(C16:H16)</f>
        <v/>
      </c>
    </row>
    <row r="17" ht="15" customHeight="1">
      <c r="A17" s="58" t="inlineStr">
        <is>
          <t>Netherlands — fiscal unity (BidCo+BV)</t>
        </is>
      </c>
      <c r="B17" s="22" t="inlineStr">
        <is>
          <t>25.8%</t>
        </is>
      </c>
      <c r="C17" s="67" t="n">
        <v>1.6</v>
      </c>
      <c r="D17" s="67" t="n">
        <v>1.91</v>
      </c>
      <c r="E17" s="67" t="n">
        <v>2.23</v>
      </c>
      <c r="F17" s="67" t="n">
        <v>2.57</v>
      </c>
      <c r="G17" s="67" t="n">
        <v>2.92</v>
      </c>
      <c r="H17" s="67" t="n">
        <v>3.28</v>
      </c>
      <c r="I17" s="68">
        <f>SUM(C17:H17)</f>
        <v/>
      </c>
    </row>
    <row r="18" ht="15" customHeight="1">
      <c r="A18" s="58" t="inlineStr">
        <is>
          <t>Singapore — Nordenvik Asia Pte. Ltd.</t>
        </is>
      </c>
      <c r="B18" s="22" t="inlineStr">
        <is>
          <t>see note</t>
        </is>
      </c>
      <c r="C18" s="67" t="n">
        <v>0.64</v>
      </c>
      <c r="D18" s="67" t="n">
        <v>0.6899999999999999</v>
      </c>
      <c r="E18" s="67" t="n">
        <v>0.78</v>
      </c>
      <c r="F18" s="67" t="n">
        <v>0.85</v>
      </c>
      <c r="G18" s="67" t="n">
        <v>0.91</v>
      </c>
      <c r="H18" s="67" t="n">
        <v>1</v>
      </c>
      <c r="I18" s="68">
        <f>SUM(C18:H18)</f>
        <v/>
      </c>
    </row>
    <row r="19" ht="15" customHeight="1">
      <c r="A19" s="69" t="inlineStr">
        <is>
          <t>TOTAL GROUP CASH TAX</t>
        </is>
      </c>
      <c r="C19" s="70">
        <f>SUM(C15:C18)</f>
        <v/>
      </c>
      <c r="D19" s="70">
        <f>SUM(D15:D18)</f>
        <v/>
      </c>
      <c r="E19" s="70">
        <f>SUM(E15:E18)</f>
        <v/>
      </c>
      <c r="F19" s="70">
        <f>SUM(F15:F18)</f>
        <v/>
      </c>
      <c r="G19" s="70">
        <f>SUM(G15:G18)</f>
        <v/>
      </c>
      <c r="H19" s="70">
        <f>SUM(H15:H18)</f>
        <v/>
      </c>
      <c r="I19" s="70">
        <f>SUM(I15:I18)</f>
        <v/>
      </c>
    </row>
    <row r="20" ht="30" customHeight="1">
      <c r="B20" s="54" t="inlineStr">
        <is>
          <t>Singapore recomputed at 17% (Pioneer expired). Sweden adds mid-case interest-disallowance tax cost (SEK 2–14M/yr disallowance per Doc 7; see 'Interest Limitations'). Germany §8c full forfeiture retained (Stille Reserven analysis pending).</t>
        </is>
      </c>
    </row>
    <row r="21" ht="15" customHeight="1"/>
    <row r="22" ht="24" customHeight="1">
      <c r="B22" s="28" t="inlineStr">
        <is>
          <t>C. INCREMENTAL TAX vs AS-MODELED (EUR M) — cost of correcting the two model errors</t>
        </is>
      </c>
    </row>
    <row r="23" ht="15" customHeight="1">
      <c r="A23" s="14" t="inlineStr">
        <is>
          <t>Driver</t>
        </is>
      </c>
      <c r="B23" s="14" t="inlineStr">
        <is>
          <t>FY2025</t>
        </is>
      </c>
      <c r="C23" s="14" t="inlineStr">
        <is>
          <t>FY2026</t>
        </is>
      </c>
      <c r="D23" s="14" t="inlineStr">
        <is>
          <t>FY2027</t>
        </is>
      </c>
      <c r="E23" s="14" t="inlineStr">
        <is>
          <t>FY2028</t>
        </is>
      </c>
      <c r="F23" s="14" t="inlineStr">
        <is>
          <t>FY2029</t>
        </is>
      </c>
      <c r="G23" s="14" t="inlineStr">
        <is>
          <t>FY2030</t>
        </is>
      </c>
      <c r="H23" s="14" t="inlineStr">
        <is>
          <t>6-yr Total</t>
        </is>
      </c>
      <c r="I23" s="14" t="inlineStr">
        <is>
          <t>Note</t>
        </is>
      </c>
      <c r="J23" s="14" t="n"/>
    </row>
    <row r="24" ht="30" customHeight="1">
      <c r="A24" s="58" t="inlineStr">
        <is>
          <t>Singapore 5%→17%</t>
        </is>
      </c>
      <c r="B24" s="71" t="n">
        <v>0.45</v>
      </c>
      <c r="C24" s="71" t="n">
        <v>0.49</v>
      </c>
      <c r="D24" s="71" t="n">
        <v>0.55</v>
      </c>
      <c r="E24" s="71" t="n">
        <v>0.6</v>
      </c>
      <c r="F24" s="71" t="n">
        <v>0.64</v>
      </c>
      <c r="G24" s="71" t="n">
        <v>0.71</v>
      </c>
      <c r="H24" s="68">
        <f>SUM(B24:G24)</f>
        <v/>
      </c>
      <c r="I24" s="62" t="inlineStr">
        <is>
          <t>Pioneer expired 31 Dec 2023</t>
        </is>
      </c>
    </row>
    <row r="25" ht="30" customHeight="1">
      <c r="A25" s="58" t="inlineStr">
        <is>
          <t>Sweden interest disallowance</t>
        </is>
      </c>
      <c r="B25" s="71" t="n">
        <v>0.25</v>
      </c>
      <c r="C25" s="71" t="n">
        <v>0.2</v>
      </c>
      <c r="D25" s="71" t="n">
        <v>0.14</v>
      </c>
      <c r="E25" s="71" t="n">
        <v>0.09</v>
      </c>
      <c r="F25" s="71" t="n">
        <v>0.04</v>
      </c>
      <c r="G25" s="71" t="n">
        <v>0</v>
      </c>
      <c r="H25" s="68">
        <f>SUM(B25:G25)</f>
        <v/>
      </c>
      <c r="I25" s="62" t="inlineStr">
        <is>
          <t>Standalone EBITDA per Doc 7</t>
        </is>
      </c>
    </row>
    <row r="26" ht="45" customHeight="1">
      <c r="A26" s="72" t="inlineStr">
        <is>
          <t>TOTAL CORRECTION</t>
        </is>
      </c>
      <c r="B26" s="73">
        <f>SUM(B24:B25)</f>
        <v/>
      </c>
      <c r="C26" s="73">
        <f>SUM(C24:C25)</f>
        <v/>
      </c>
      <c r="D26" s="73">
        <f>SUM(D24:D25)</f>
        <v/>
      </c>
      <c r="E26" s="73">
        <f>SUM(E24:E25)</f>
        <v/>
      </c>
      <c r="F26" s="73">
        <f>SUM(F24:F25)</f>
        <v/>
      </c>
      <c r="G26" s="73">
        <f>SUM(G24:G25)</f>
        <v/>
      </c>
      <c r="H26" s="73">
        <f>SUM(B26:G26)</f>
        <v/>
      </c>
      <c r="I26" s="62" t="inlineStr">
        <is>
          <t>Reduces modelled IRR/MOIC — re-underwrite</t>
        </is>
      </c>
    </row>
  </sheetData>
  <mergeCells count="7">
    <mergeCell ref="A1:J1"/>
    <mergeCell ref="B11:J11"/>
    <mergeCell ref="B20:J20"/>
    <mergeCell ref="B22:J22"/>
    <mergeCell ref="B4:J4"/>
    <mergeCell ref="A2:J2"/>
    <mergeCell ref="B13:J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  <col width="3" customWidth="1" min="9" max="9"/>
  </cols>
  <sheetData>
    <row r="1" ht="28" customHeight="1">
      <c r="A1" s="59" t="inlineStr">
        <is>
          <t>INTEREST DEDUCTION LIMITATIONS</t>
        </is>
      </c>
    </row>
    <row r="2" ht="18" customHeight="1">
      <c r="A2" s="60" t="inlineStr">
        <is>
          <t>Sweden — EBITDA rule (24 kap. 24 § IL) | Germany — Zinsschranke (§4h EStG / §8a KStG)</t>
        </is>
      </c>
    </row>
    <row r="3" ht="15" customHeight="1"/>
    <row r="4" ht="24" customHeight="1">
      <c r="B4" s="21" t="inlineStr">
        <is>
          <t>A. SWEDEN — EBITDA rule (entity-level application)</t>
        </is>
      </c>
    </row>
    <row r="5" ht="15" customHeight="1">
      <c r="A5" s="14" t="inlineStr">
        <is>
          <t>Line</t>
        </is>
      </c>
      <c r="B5" s="14" t="inlineStr">
        <is>
          <t>FY2025</t>
        </is>
      </c>
      <c r="C5" s="14" t="inlineStr">
        <is>
          <t>FY2026</t>
        </is>
      </c>
      <c r="D5" s="14" t="inlineStr">
        <is>
          <t>FY2027</t>
        </is>
      </c>
      <c r="E5" s="14" t="inlineStr">
        <is>
          <t>FY2028</t>
        </is>
      </c>
      <c r="F5" s="14" t="inlineStr">
        <is>
          <t>FY2029</t>
        </is>
      </c>
      <c r="G5" s="14" t="inlineStr">
        <is>
          <t>FY2030</t>
        </is>
      </c>
      <c r="H5" s="14" t="inlineStr">
        <is>
          <t>Source</t>
        </is>
      </c>
      <c r="I5" s="14" t="n"/>
    </row>
    <row r="6" ht="15" customHeight="1">
      <c r="A6" s="58" t="inlineStr">
        <is>
          <t>Consolidated EBITDA (SEK M) — model basis</t>
        </is>
      </c>
      <c r="B6" s="71" t="n">
        <v>478</v>
      </c>
      <c r="C6" s="71" t="n">
        <v>510</v>
      </c>
      <c r="D6" s="71" t="n">
        <v>540</v>
      </c>
      <c r="E6" s="71" t="n">
        <v>573</v>
      </c>
      <c r="F6" s="71" t="n">
        <v>607</v>
      </c>
      <c r="G6" s="71" t="n">
        <v>643</v>
      </c>
      <c r="H6" s="62" t="inlineStr">
        <is>
          <t>Doc 5 (ERROR basis)</t>
        </is>
      </c>
    </row>
    <row r="7" ht="15" customHeight="1">
      <c r="A7" s="58" t="inlineStr">
        <is>
          <t>30% of consolidated EBITDA (cap)</t>
        </is>
      </c>
      <c r="B7" s="71" t="n">
        <v>143.4</v>
      </c>
      <c r="C7" s="71" t="n">
        <v>153</v>
      </c>
      <c r="D7" s="71" t="n">
        <v>162</v>
      </c>
      <c r="E7" s="71" t="n">
        <v>171.9</v>
      </c>
      <c r="F7" s="71" t="n">
        <v>182.1</v>
      </c>
      <c r="G7" s="71" t="n">
        <v>192.9</v>
      </c>
      <c r="H7" s="62" t="inlineStr">
        <is>
          <t>30% × Line 1</t>
        </is>
      </c>
    </row>
    <row r="8" ht="30" customHeight="1">
      <c r="A8" s="58" t="inlineStr">
        <is>
          <t>Standalone tax EBITDA — Nordenvik Group AB (SEK M)</t>
        </is>
      </c>
      <c r="B8" s="71" t="n">
        <v>400</v>
      </c>
      <c r="C8" s="71" t="n">
        <v>430</v>
      </c>
      <c r="D8" s="71" t="n">
        <v>460</v>
      </c>
      <c r="E8" s="71" t="n">
        <v>490</v>
      </c>
      <c r="F8" s="71" t="n">
        <v>520</v>
      </c>
      <c r="G8" s="71" t="n">
        <v>550</v>
      </c>
      <c r="H8" s="62" t="inlineStr">
        <is>
          <t>Doc 7 range 380–420; grown</t>
        </is>
      </c>
    </row>
    <row r="9" ht="15" customHeight="1">
      <c r="A9" s="58" t="inlineStr">
        <is>
          <t>30% of standalone EBITDA (cap)</t>
        </is>
      </c>
      <c r="B9" s="71" t="n">
        <v>120</v>
      </c>
      <c r="C9" s="71" t="n">
        <v>129</v>
      </c>
      <c r="D9" s="71" t="n">
        <v>138</v>
      </c>
      <c r="E9" s="71" t="n">
        <v>147</v>
      </c>
      <c r="F9" s="71" t="n">
        <v>156</v>
      </c>
      <c r="G9" s="71" t="n">
        <v>165</v>
      </c>
      <c r="H9" s="62" t="inlineStr">
        <is>
          <t>30% × Line 3</t>
        </is>
      </c>
    </row>
    <row r="10" ht="15" customHeight="1">
      <c r="A10" s="58" t="inlineStr">
        <is>
          <t>Intercompany interest expense (SEK M)</t>
        </is>
      </c>
      <c r="B10" s="71" t="n">
        <v>128</v>
      </c>
      <c r="C10" s="71" t="n">
        <v>122</v>
      </c>
      <c r="D10" s="71" t="n">
        <v>116</v>
      </c>
      <c r="E10" s="71" t="n">
        <v>110</v>
      </c>
      <c r="F10" s="71" t="n">
        <v>104</v>
      </c>
      <c r="G10" s="71" t="n">
        <v>98</v>
      </c>
      <c r="H10" s="62" t="inlineStr">
        <is>
          <t>Doc 7 / Doc 5</t>
        </is>
      </c>
    </row>
    <row r="11" ht="15" customHeight="1">
      <c r="A11" s="58" t="inlineStr">
        <is>
          <t>Disallowance — model (consolidated basis)</t>
        </is>
      </c>
      <c r="B11" s="71" t="n">
        <v>0</v>
      </c>
      <c r="C11" s="71" t="n">
        <v>0</v>
      </c>
      <c r="D11" s="71" t="n">
        <v>0</v>
      </c>
      <c r="E11" s="71" t="n">
        <v>0</v>
      </c>
      <c r="F11" s="71" t="n">
        <v>0</v>
      </c>
      <c r="G11" s="71" t="n">
        <v>0</v>
      </c>
      <c r="H11" s="62" t="inlineStr">
        <is>
          <t>Doc 5 shows ZERO (error)</t>
        </is>
      </c>
    </row>
    <row r="12" ht="15" customHeight="1">
      <c r="A12" s="58" t="inlineStr">
        <is>
          <t>Disallowance — corrected (standalone basis)</t>
        </is>
      </c>
      <c r="B12" s="74" t="n">
        <v>8</v>
      </c>
      <c r="C12" s="71" t="n">
        <v>0</v>
      </c>
      <c r="D12" s="71" t="n">
        <v>0</v>
      </c>
      <c r="E12" s="71" t="n">
        <v>0</v>
      </c>
      <c r="F12" s="71" t="n">
        <v>0</v>
      </c>
      <c r="G12" s="71" t="n">
        <v>0</v>
      </c>
      <c r="H12" s="62" t="inlineStr">
        <is>
          <t>Max(0, interest − 30% standalone)</t>
        </is>
      </c>
    </row>
    <row r="13" ht="15" customHeight="1">
      <c r="A13" s="58" t="inlineStr">
        <is>
          <t>Tax cost of disallowance (SEK M) @20.6%</t>
        </is>
      </c>
      <c r="B13" s="75" t="n">
        <v>1.65</v>
      </c>
      <c r="C13" s="71" t="n">
        <v>0</v>
      </c>
      <c r="D13" s="71" t="n">
        <v>0</v>
      </c>
      <c r="E13" s="71" t="n">
        <v>0</v>
      </c>
      <c r="F13" s="71" t="n">
        <v>0</v>
      </c>
      <c r="G13" s="71" t="n">
        <v>0</v>
      </c>
      <c r="H13" s="62" t="inlineStr">
        <is>
          <t>Line 7 × 20.6%</t>
        </is>
      </c>
    </row>
    <row r="14" ht="15" customHeight="1">
      <c r="A14" s="58" t="inlineStr">
        <is>
          <t>Tax cost of disallowance (EUR M)</t>
        </is>
      </c>
      <c r="B14" s="75" t="n">
        <v>0.14</v>
      </c>
      <c r="C14" s="71" t="n">
        <v>0</v>
      </c>
      <c r="D14" s="71" t="n">
        <v>0</v>
      </c>
      <c r="E14" s="71" t="n">
        <v>0</v>
      </c>
      <c r="F14" s="71" t="n">
        <v>0</v>
      </c>
      <c r="G14" s="71" t="n">
        <v>0</v>
      </c>
      <c r="H14" s="62" t="inlineStr">
        <is>
          <t>Line 8 ÷ 11.55</t>
        </is>
      </c>
    </row>
    <row r="15" ht="15" customHeight="1"/>
    <row r="16" ht="45" customHeight="1">
      <c r="B16" s="54" t="inlineStr">
        <is>
          <t>Swedish counsel (Doc 7): standalone EBITDA SEK 380–420M → cap SEK 114–126M &lt; SEK 128M interest → SEK 2–14M/yr disallowance; 5-yr cumulative SEK 22–34M/yr disallowance, permanent tax cost SEK 22.7–35M. RECOMMENDATION: retain debt at BidCo (NL), offset vs BV royalty income via fiscal unity.</t>
        </is>
      </c>
    </row>
    <row r="17" ht="15" customHeight="1"/>
    <row r="18" ht="24" customHeight="1">
      <c r="B18" s="21" t="inlineStr">
        <is>
          <t>B. GERMANY — Zinsschranke (Nordenvik Deutschland GmbH)</t>
        </is>
      </c>
    </row>
    <row r="19" ht="15" customHeight="1">
      <c r="A19" s="14" t="inlineStr">
        <is>
          <t>Line</t>
        </is>
      </c>
      <c r="B19" s="14" t="inlineStr">
        <is>
          <t>FY2025</t>
        </is>
      </c>
      <c r="C19" s="14" t="inlineStr">
        <is>
          <t>FY2026</t>
        </is>
      </c>
      <c r="D19" s="14" t="inlineStr">
        <is>
          <t>FY2027</t>
        </is>
      </c>
      <c r="E19" s="14" t="inlineStr">
        <is>
          <t>FY2028</t>
        </is>
      </c>
      <c r="F19" s="14" t="inlineStr">
        <is>
          <t>FY2029</t>
        </is>
      </c>
      <c r="G19" s="14" t="inlineStr">
        <is>
          <t>FY2030</t>
        </is>
      </c>
      <c r="H19" s="14" t="inlineStr">
        <is>
          <t>Source</t>
        </is>
      </c>
      <c r="I19" s="14" t="n"/>
    </row>
    <row r="20" ht="15" customHeight="1">
      <c r="A20" s="58" t="inlineStr">
        <is>
          <t>Tax EBITDA (EUR M)</t>
        </is>
      </c>
      <c r="B20" s="71" t="n">
        <v>11.5</v>
      </c>
      <c r="C20" s="71" t="n">
        <v>12.3</v>
      </c>
      <c r="D20" s="71" t="n">
        <v>13.1</v>
      </c>
      <c r="E20" s="71" t="n">
        <v>14</v>
      </c>
      <c r="F20" s="71" t="n">
        <v>14.9</v>
      </c>
      <c r="G20" s="71" t="n">
        <v>15.9</v>
      </c>
      <c r="H20" s="62" t="inlineStr">
        <is>
          <t>Doc 5 / Doc 8</t>
        </is>
      </c>
    </row>
    <row r="21" ht="15" customHeight="1">
      <c r="A21" s="58" t="inlineStr">
        <is>
          <t>30% of tax EBITDA (max deductible)</t>
        </is>
      </c>
      <c r="B21" s="71" t="n">
        <v>3.45</v>
      </c>
      <c r="C21" s="71" t="n">
        <v>3.69</v>
      </c>
      <c r="D21" s="71" t="n">
        <v>3.93</v>
      </c>
      <c r="E21" s="71" t="n">
        <v>4.2</v>
      </c>
      <c r="F21" s="71" t="n">
        <v>4.47</v>
      </c>
      <c r="G21" s="71" t="n">
        <v>4.77</v>
      </c>
      <c r="H21" s="62" t="inlineStr">
        <is>
          <t>30% × Line 1</t>
        </is>
      </c>
    </row>
    <row r="22" ht="15" customHeight="1">
      <c r="A22" s="58" t="inlineStr">
        <is>
          <t>De minimis threshold (EUR M)</t>
        </is>
      </c>
      <c r="B22" s="71" t="n">
        <v>3</v>
      </c>
      <c r="C22" s="71" t="n">
        <v>3</v>
      </c>
      <c r="D22" s="71" t="n">
        <v>3</v>
      </c>
      <c r="E22" s="71" t="n">
        <v>3</v>
      </c>
      <c r="F22" s="71" t="n">
        <v>3</v>
      </c>
      <c r="G22" s="71" t="n">
        <v>3</v>
      </c>
      <c r="H22" s="62" t="inlineStr">
        <is>
          <t>§4h(2)(a) EStG</t>
        </is>
      </c>
    </row>
    <row r="23" ht="15" customHeight="1">
      <c r="A23" s="58" t="inlineStr">
        <is>
          <t>Net interest expense (EUR M)</t>
        </is>
      </c>
      <c r="B23" s="71" t="n">
        <v>4.1</v>
      </c>
      <c r="C23" s="71" t="n">
        <v>3.9</v>
      </c>
      <c r="D23" s="71" t="n">
        <v>3.7</v>
      </c>
      <c r="E23" s="71" t="n">
        <v>3.5</v>
      </c>
      <c r="F23" s="71" t="n">
        <v>3.3</v>
      </c>
      <c r="G23" s="71" t="n">
        <v>3.1</v>
      </c>
      <c r="H23" s="62" t="inlineStr">
        <is>
          <t>Doc 8 / Doc 5</t>
        </is>
      </c>
    </row>
    <row r="24" ht="15" customHeight="1">
      <c r="A24" s="58" t="inlineStr">
        <is>
          <t>Interest disallowed (EUR M)</t>
        </is>
      </c>
      <c r="B24" s="74" t="n">
        <v>0.65</v>
      </c>
      <c r="C24" s="74" t="n">
        <v>0.21</v>
      </c>
      <c r="D24" s="71" t="n">
        <v>0</v>
      </c>
      <c r="E24" s="71" t="n">
        <v>0</v>
      </c>
      <c r="F24" s="71" t="n">
        <v>0</v>
      </c>
      <c r="G24" s="71" t="n">
        <v>0</v>
      </c>
      <c r="H24" s="62" t="inlineStr">
        <is>
          <t>Max(0, int − 30% EBITDA)</t>
        </is>
      </c>
    </row>
    <row r="25" ht="15" customHeight="1">
      <c r="A25" s="58" t="inlineStr">
        <is>
          <t>Tax cost @ 32.98% (EUR M)</t>
        </is>
      </c>
      <c r="B25" s="75" t="n">
        <v>0.21</v>
      </c>
      <c r="C25" s="75" t="n">
        <v>0.07000000000000001</v>
      </c>
      <c r="D25" s="71" t="n">
        <v>0</v>
      </c>
      <c r="E25" s="71" t="n">
        <v>0</v>
      </c>
      <c r="F25" s="71" t="n">
        <v>0</v>
      </c>
      <c r="G25" s="71" t="n">
        <v>0</v>
      </c>
      <c r="H25" s="62" t="inlineStr">
        <is>
          <t>Line 5 × 32.98%</t>
        </is>
      </c>
    </row>
    <row r="26" ht="15" customHeight="1">
      <c r="A26" s="58" t="inlineStr">
        <is>
          <t>Disallowed interest carryforward (EUR M)</t>
        </is>
      </c>
      <c r="B26" s="74" t="n">
        <v>0.65</v>
      </c>
      <c r="C26" s="74" t="n">
        <v>0.86</v>
      </c>
      <c r="D26" s="74" t="n">
        <v>0.86</v>
      </c>
      <c r="E26" s="74" t="n">
        <v>0.86</v>
      </c>
      <c r="F26" s="74" t="n">
        <v>0.86</v>
      </c>
      <c r="G26" s="74" t="n">
        <v>0.86</v>
      </c>
      <c r="H26" s="62" t="inlineStr">
        <is>
          <t>cumulative; forfeit on next §8c event</t>
        </is>
      </c>
    </row>
    <row r="27" ht="30" customHeight="1">
      <c r="A27" s="58" t="inlineStr">
        <is>
          <t>GewSt add-back cost (EUR M)</t>
        </is>
      </c>
      <c r="B27" s="71" t="n">
        <v>0.14</v>
      </c>
      <c r="C27" s="71" t="n">
        <v>0.13</v>
      </c>
      <c r="D27" s="71" t="n">
        <v>0.12</v>
      </c>
      <c r="E27" s="71" t="n">
        <v>0.11</v>
      </c>
      <c r="F27" s="71" t="n">
        <v>0.1</v>
      </c>
      <c r="G27" s="71" t="n">
        <v>0.09</v>
      </c>
      <c r="H27" s="62" t="inlineStr">
        <is>
          <t>§8 GewStG; ~25% of deductible int net of €200k Freibetrag × 17.15%</t>
        </is>
      </c>
    </row>
    <row r="28" ht="15" customHeight="1"/>
    <row r="29" ht="45" customHeight="1">
      <c r="B29" s="54" t="inlineStr">
        <is>
          <t>German counsel (Doc 8): de minimis &amp; standalone exceptions unavailable; equity-ratio exception likely blocked by §8a(3) KStG (related-party debt). Zinsschranke and GewSt add-back operate cumulatively. 5-yr cumulative Zinsschranke tax cost ~EUR 1.22M + GewSt add-back ~EUR 0.68M.</t>
        </is>
      </c>
    </row>
  </sheetData>
  <mergeCells count="6">
    <mergeCell ref="B18:I18"/>
    <mergeCell ref="A2:I2"/>
    <mergeCell ref="B29:I29"/>
    <mergeCell ref="B16:I16"/>
    <mergeCell ref="A1:I1"/>
    <mergeCell ref="B4:I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4" customWidth="1" min="3" max="3"/>
    <col width="14" customWidth="1" min="4" max="4"/>
    <col width="12" customWidth="1" min="5" max="5"/>
    <col width="12" customWidth="1" min="6" max="6"/>
    <col width="14" customWidth="1" min="7" max="7"/>
    <col width="34" customWidth="1" min="8" max="8"/>
    <col width="3" customWidth="1" min="9" max="9"/>
  </cols>
  <sheetData>
    <row r="1" ht="28" customHeight="1">
      <c r="A1" s="59" t="inlineStr">
        <is>
          <t>WITHHOLDING TAX MATRIX &amp; SUBSTANCE SENSITIVITY</t>
        </is>
      </c>
    </row>
    <row r="2" ht="18" customHeight="1">
      <c r="A2" s="60" t="inlineStr">
        <is>
          <t>All flows assume beneficial ownership, adequate substance, and MLI Principal Purpose Test satisfied. Base case WHT leakage = EUR 0.</t>
        </is>
      </c>
    </row>
    <row r="3" ht="15" customHeight="1"/>
    <row r="4" ht="15" customHeight="1">
      <c r="B4" s="21" t="inlineStr">
        <is>
          <t>A. Intercompany flow matrix (base case — treaty/directive applied)</t>
        </is>
      </c>
    </row>
    <row r="5" ht="30" customHeight="1">
      <c r="A5" s="14" t="inlineStr">
        <is>
          <t>Flow</t>
        </is>
      </c>
      <c r="B5" s="14" t="inlineStr">
        <is>
          <t>Payer → Payee</t>
        </is>
      </c>
      <c r="C5" s="14" t="inlineStr">
        <is>
          <t>Type</t>
        </is>
      </c>
      <c r="D5" s="14" t="inlineStr">
        <is>
          <t>Gross (EUR M/yr)</t>
        </is>
      </c>
      <c r="E5" s="14" t="inlineStr">
        <is>
          <t>Domestic WHT</t>
        </is>
      </c>
      <c r="F5" s="14" t="inlineStr">
        <is>
          <t>Treaty/Directive rate</t>
        </is>
      </c>
      <c r="G5" s="14" t="inlineStr">
        <is>
          <t>Net WHT (EUR M)</t>
        </is>
      </c>
      <c r="H5" s="14" t="inlineStr">
        <is>
          <t>Authority</t>
        </is>
      </c>
      <c r="I5" s="14" t="n"/>
    </row>
    <row r="6" ht="30" customHeight="1">
      <c r="A6" s="56" t="inlineStr">
        <is>
          <t>A</t>
        </is>
      </c>
      <c r="B6" s="58" t="inlineStr">
        <is>
          <t>Nordenvik Group AB (SE) → MCP BidCo BV (NL)</t>
        </is>
      </c>
      <c r="C6" s="58" t="inlineStr">
        <is>
          <t>Dividend</t>
        </is>
      </c>
      <c r="D6" s="34" t="inlineStr">
        <is>
          <t>Variable</t>
        </is>
      </c>
      <c r="E6" s="64" t="n">
        <v>0.3</v>
      </c>
      <c r="F6" s="64" t="n">
        <v>0</v>
      </c>
      <c r="G6" s="76" t="n">
        <v>0</v>
      </c>
      <c r="H6" s="62" t="inlineStr">
        <is>
          <t>SE-NL treaty Art. 10(3); EU PSD</t>
        </is>
      </c>
    </row>
    <row r="7" ht="30" customHeight="1">
      <c r="A7" s="56" t="inlineStr">
        <is>
          <t>B</t>
        </is>
      </c>
      <c r="B7" s="58" t="inlineStr">
        <is>
          <t>MCP BidCo BV (NL) → MCP HoldCo S.à r.l. (LU)</t>
        </is>
      </c>
      <c r="C7" s="58" t="inlineStr">
        <is>
          <t>Dividend</t>
        </is>
      </c>
      <c r="D7" s="34" t="inlineStr">
        <is>
          <t>Variable</t>
        </is>
      </c>
      <c r="E7" s="64" t="n">
        <v>0.15</v>
      </c>
      <c r="F7" s="64" t="n">
        <v>0</v>
      </c>
      <c r="G7" s="76" t="n">
        <v>0</v>
      </c>
      <c r="H7" s="62" t="inlineStr">
        <is>
          <t>EU PSD; NL-LU treaty Art. 10</t>
        </is>
      </c>
    </row>
    <row r="8" ht="30" customHeight="1">
      <c r="A8" s="56" t="inlineStr">
        <is>
          <t>C</t>
        </is>
      </c>
      <c r="B8" s="58" t="inlineStr">
        <is>
          <t>Nordenvik Asia (SG) → Nordenvik BV (NL)</t>
        </is>
      </c>
      <c r="C8" s="58" t="inlineStr">
        <is>
          <t>Royalty</t>
        </is>
      </c>
      <c r="D8" s="34" t="n">
        <v>1.44</v>
      </c>
      <c r="E8" s="64" t="n">
        <v>0.1</v>
      </c>
      <c r="F8" s="64" t="n">
        <v>0</v>
      </c>
      <c r="G8" s="76" t="n">
        <v>0</v>
      </c>
      <c r="H8" s="62" t="inlineStr">
        <is>
          <t>SG-NL DTA Art. 12 (0%)</t>
        </is>
      </c>
    </row>
    <row r="9" ht="30" customHeight="1">
      <c r="A9" s="56" t="inlineStr">
        <is>
          <t>D</t>
        </is>
      </c>
      <c r="B9" s="58" t="inlineStr">
        <is>
          <t>Nordenvik Deutschland (DE) → Nordenvik BV (NL)</t>
        </is>
      </c>
      <c r="C9" s="58" t="inlineStr">
        <is>
          <t>Royalty</t>
        </is>
      </c>
      <c r="D9" s="34" t="n">
        <v>3.43</v>
      </c>
      <c r="E9" s="64" t="n">
        <v>0.15</v>
      </c>
      <c r="F9" s="64" t="n">
        <v>0</v>
      </c>
      <c r="G9" s="76" t="n">
        <v>0</v>
      </c>
      <c r="H9" s="62" t="inlineStr">
        <is>
          <t>EU I&amp;R Directive; DE-NL DTA Art. 12</t>
        </is>
      </c>
    </row>
    <row r="10" ht="30" customHeight="1">
      <c r="A10" s="56" t="inlineStr">
        <is>
          <t>E</t>
        </is>
      </c>
      <c r="B10" s="58" t="inlineStr">
        <is>
          <t>Nordenvik Group AB (SE) → MCP BidCo BV (NL)</t>
        </is>
      </c>
      <c r="C10" s="58" t="inlineStr">
        <is>
          <t>Interest (IC loan)</t>
        </is>
      </c>
      <c r="D10" s="34" t="n">
        <v>11.08</v>
      </c>
      <c r="E10" s="64" t="n">
        <v>0</v>
      </c>
      <c r="F10" s="64" t="n">
        <v>0</v>
      </c>
      <c r="G10" s="76" t="n">
        <v>0</v>
      </c>
      <c r="H10" s="62" t="inlineStr">
        <is>
          <t>No SE WHT on interest</t>
        </is>
      </c>
    </row>
    <row r="11" ht="30" customHeight="1">
      <c r="A11" s="56" t="inlineStr">
        <is>
          <t>F</t>
        </is>
      </c>
      <c r="B11" s="58" t="inlineStr">
        <is>
          <t>Nordenvik Deutschland (DE) → Nordenvik BV (NL)</t>
        </is>
      </c>
      <c r="C11" s="58" t="inlineStr">
        <is>
          <t>Interest (WC loan)</t>
        </is>
      </c>
      <c r="D11" s="34" t="n">
        <v>0.58</v>
      </c>
      <c r="E11" s="64" t="n">
        <v>0</v>
      </c>
      <c r="F11" s="64" t="n">
        <v>0</v>
      </c>
      <c r="G11" s="76" t="n">
        <v>0</v>
      </c>
      <c r="H11" s="62" t="inlineStr">
        <is>
          <t>No DE WHT on interest to EU corporates</t>
        </is>
      </c>
    </row>
    <row r="12" ht="15" customHeight="1"/>
    <row r="13" ht="30" customHeight="1">
      <c r="B13" s="54" t="inlineStr">
        <is>
          <t>Total annual base-case WHT leakage: EUR 0.00 M. All treaty/directive benefits contingent on beneficial ownership + substance + PPT (MLI Art. 7).</t>
        </is>
      </c>
    </row>
    <row r="14" ht="15" customHeight="1"/>
    <row r="15" ht="15" customHeight="1">
      <c r="B15" s="28" t="inlineStr">
        <is>
          <t>B. Substance-challenge sensitivity (if treaty benefits denied)</t>
        </is>
      </c>
    </row>
    <row r="16" ht="45" customHeight="1">
      <c r="A16" s="36" t="inlineStr">
        <is>
          <t>Scenario</t>
        </is>
      </c>
      <c r="B16" s="36" t="inlineStr">
        <is>
          <t>Flow affected</t>
        </is>
      </c>
      <c r="C16" s="36" t="inlineStr">
        <is>
          <t>WHT if denied</t>
        </is>
      </c>
      <c r="D16" s="36" t="inlineStr">
        <is>
          <t>Gross (EUR M)</t>
        </is>
      </c>
      <c r="E16" s="36" t="inlineStr">
        <is>
          <t>Additional annual WHT (EUR M)</t>
        </is>
      </c>
      <c r="F16" s="36" t="inlineStr">
        <is>
          <t>Driver</t>
        </is>
      </c>
      <c r="G16" s="36" t="inlineStr"/>
      <c r="H16" s="36" t="inlineStr"/>
      <c r="I16" s="36" t="inlineStr"/>
    </row>
    <row r="17" ht="15" customHeight="1">
      <c r="A17" s="58" t="inlineStr">
        <is>
          <t>Dutch substance challenge — Nordenvik BV</t>
        </is>
      </c>
      <c r="B17" s="58" t="inlineStr">
        <is>
          <t>C (SG royalties)</t>
        </is>
      </c>
      <c r="C17" s="64" t="n">
        <v>0.1</v>
      </c>
      <c r="D17" s="34" t="n">
        <v>1.44</v>
      </c>
      <c r="E17" s="75" t="n">
        <v>0.14</v>
      </c>
      <c r="F17" s="62" t="inlineStr">
        <is>
          <t>10% × 1.44</t>
        </is>
      </c>
    </row>
    <row r="18" ht="15" customHeight="1">
      <c r="A18" s="58" t="inlineStr">
        <is>
          <t>Dutch substance challenge — Nordenvik BV</t>
        </is>
      </c>
      <c r="B18" s="58" t="inlineStr">
        <is>
          <t>D (DE royalties)</t>
        </is>
      </c>
      <c r="C18" s="64" t="n">
        <v>0.15</v>
      </c>
      <c r="D18" s="34" t="n">
        <v>3.43</v>
      </c>
      <c r="E18" s="75" t="n">
        <v>0.51</v>
      </c>
      <c r="F18" s="62" t="inlineStr">
        <is>
          <t>15% × 3.43</t>
        </is>
      </c>
    </row>
    <row r="19" ht="30" customHeight="1">
      <c r="A19" s="58" t="inlineStr">
        <is>
          <t>PPT applied to MCP BidCo BV</t>
        </is>
      </c>
      <c r="B19" s="58" t="inlineStr">
        <is>
          <t>A (SE dividends)</t>
        </is>
      </c>
      <c r="C19" s="64" t="n">
        <v>0.3</v>
      </c>
      <c r="D19" s="34" t="n"/>
      <c r="E19" s="29" t="n"/>
      <c r="F19" s="62" t="inlineStr">
        <is>
          <t>30% × dividend (variable)</t>
        </is>
      </c>
    </row>
    <row r="20" ht="30" customHeight="1">
      <c r="A20" s="58" t="inlineStr">
        <is>
          <t>PPT applied to LuxCo</t>
        </is>
      </c>
      <c r="B20" s="58" t="inlineStr">
        <is>
          <t>B (NL dividends)</t>
        </is>
      </c>
      <c r="C20" s="64" t="n">
        <v>0.15</v>
      </c>
      <c r="D20" s="34" t="n"/>
      <c r="E20" s="29" t="n"/>
      <c r="F20" s="62" t="inlineStr">
        <is>
          <t>15% × dividend (variable)</t>
        </is>
      </c>
    </row>
    <row r="21" ht="30" customHeight="1">
      <c r="A21" s="58" t="inlineStr">
        <is>
          <t>Combined BV substance challenge (C+D)</t>
        </is>
      </c>
      <c r="B21" s="11" t="inlineStr"/>
      <c r="C21" s="18" t="inlineStr"/>
      <c r="D21" s="34" t="n">
        <v>4.87</v>
      </c>
      <c r="E21" s="75" t="n">
        <v>0.65</v>
      </c>
      <c r="F21" s="62" t="inlineStr">
        <is>
          <t>Sum of C+D exposure</t>
        </is>
      </c>
    </row>
    <row r="22" ht="15" customHeight="1"/>
    <row r="23" ht="30" customHeight="1">
      <c r="B23" s="54" t="inlineStr">
        <is>
          <t>Nordenvik BV substance (4 employees, no DEMPE functions) is the single largest WHT exposure. Remediation: hire 3–5 IP/commercial FTEs in Amsterdam; renew expired APA; document board decisions in NL. See Action-Item Tracker.</t>
        </is>
      </c>
    </row>
  </sheetData>
  <mergeCells count="6">
    <mergeCell ref="B13:I13"/>
    <mergeCell ref="A2:I2"/>
    <mergeCell ref="B15:I15"/>
    <mergeCell ref="A1:I1"/>
    <mergeCell ref="B23:I23"/>
    <mergeCell ref="B4:I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34" customWidth="1" min="8" max="8"/>
    <col width="3" customWidth="1" min="9" max="9"/>
  </cols>
  <sheetData>
    <row r="1" ht="28" customHeight="1">
      <c r="A1" s="59" t="inlineStr">
        <is>
          <t>EFFECTIVE TAX RATE SUMMARY</t>
        </is>
      </c>
    </row>
    <row r="2" ht="18" customHeight="1">
      <c r="A2" s="60" t="inlineStr">
        <is>
          <t>Blended group ETR and ETR by jurisdiction. Base case (Doc 5) vs optimized (recommendations implemented).</t>
        </is>
      </c>
    </row>
    <row r="3" ht="15" customHeight="1"/>
    <row r="4" ht="24" customHeight="1">
      <c r="B4" s="21" t="inlineStr">
        <is>
          <t>A. Blended group ETR (as-modeled, Doc 5)</t>
        </is>
      </c>
    </row>
    <row r="5" ht="15" customHeight="1">
      <c r="A5" s="14" t="inlineStr">
        <is>
          <t>Component</t>
        </is>
      </c>
      <c r="B5" s="14" t="inlineStr">
        <is>
          <t>FY2025</t>
        </is>
      </c>
      <c r="C5" s="14" t="inlineStr">
        <is>
          <t>FY2026</t>
        </is>
      </c>
      <c r="D5" s="14" t="inlineStr">
        <is>
          <t>FY2027</t>
        </is>
      </c>
      <c r="E5" s="14" t="inlineStr">
        <is>
          <t>FY2028</t>
        </is>
      </c>
      <c r="F5" s="14" t="inlineStr">
        <is>
          <t>FY2029</t>
        </is>
      </c>
      <c r="G5" s="14" t="inlineStr">
        <is>
          <t>FY2030</t>
        </is>
      </c>
      <c r="H5" s="14" t="inlineStr">
        <is>
          <t>Note</t>
        </is>
      </c>
      <c r="I5" s="14" t="n"/>
    </row>
    <row r="6" ht="15" customHeight="1">
      <c r="A6" s="58" t="inlineStr">
        <is>
          <t>Group pre-tax income (EUR M)</t>
        </is>
      </c>
      <c r="B6" s="71" t="n">
        <v>22</v>
      </c>
      <c r="C6" s="71" t="n">
        <v>27.3</v>
      </c>
      <c r="D6" s="71" t="n">
        <v>33.6</v>
      </c>
      <c r="E6" s="71" t="n">
        <v>39.4</v>
      </c>
      <c r="F6" s="71" t="n">
        <v>45.1</v>
      </c>
      <c r="G6" s="71" t="n">
        <v>51.5</v>
      </c>
      <c r="H6" s="62" t="inlineStr">
        <is>
          <t>Doc 5 §4.1</t>
        </is>
      </c>
    </row>
    <row r="7" ht="15" customHeight="1">
      <c r="A7" s="58" t="inlineStr">
        <is>
          <t>Total group tax (EUR M)</t>
        </is>
      </c>
      <c r="B7" s="71" t="n">
        <v>3.98</v>
      </c>
      <c r="C7" s="71" t="n">
        <v>5.35</v>
      </c>
      <c r="D7" s="71" t="n">
        <v>7.68</v>
      </c>
      <c r="E7" s="71" t="n">
        <v>9.19</v>
      </c>
      <c r="F7" s="71" t="n">
        <v>10.45</v>
      </c>
      <c r="G7" s="71" t="n">
        <v>11.8</v>
      </c>
      <c r="H7" s="62" t="inlineStr">
        <is>
          <t>Doc 5 §1.5</t>
        </is>
      </c>
    </row>
    <row r="8" ht="15" customHeight="1">
      <c r="A8" s="58" t="inlineStr">
        <is>
          <t>Effective tax rate</t>
        </is>
      </c>
      <c r="B8" s="77" t="n">
        <v>0.181</v>
      </c>
      <c r="C8" s="77" t="n">
        <v>0.196</v>
      </c>
      <c r="D8" s="77" t="n">
        <v>0.229</v>
      </c>
      <c r="E8" s="77" t="n">
        <v>0.233</v>
      </c>
      <c r="F8" s="77" t="n">
        <v>0.232</v>
      </c>
      <c r="G8" s="77" t="n">
        <v>0.229</v>
      </c>
      <c r="H8" s="62" t="inlineStr">
        <is>
          <t>tax / pre-tax</t>
        </is>
      </c>
    </row>
    <row r="9" ht="15" customHeight="1"/>
    <row r="10" ht="24" customHeight="1">
      <c r="B10" s="21" t="inlineStr">
        <is>
          <t>B. ETR by jurisdiction (local ETR)</t>
        </is>
      </c>
    </row>
    <row r="11" ht="15" customHeight="1">
      <c r="A11" s="14" t="inlineStr">
        <is>
          <t>Jurisdiction / Entity</t>
        </is>
      </c>
      <c r="B11" s="14" t="inlineStr">
        <is>
          <t>FY2025</t>
        </is>
      </c>
      <c r="C11" s="14" t="inlineStr">
        <is>
          <t>FY2027</t>
        </is>
      </c>
      <c r="D11" s="14" t="inlineStr">
        <is>
          <t>FY2030</t>
        </is>
      </c>
      <c r="E11" s="14" t="inlineStr">
        <is>
          <t>Commentary</t>
        </is>
      </c>
      <c r="F11" s="14" t="inlineStr"/>
      <c r="G11" s="14" t="inlineStr"/>
      <c r="H11" s="14" t="inlineStr"/>
      <c r="I11" s="14" t="n"/>
    </row>
    <row r="12" ht="15" customHeight="1">
      <c r="A12" s="58" t="inlineStr">
        <is>
          <t>Sweden — Nordenvik Group AB</t>
        </is>
      </c>
      <c r="B12" s="64" t="n">
        <v>0.206</v>
      </c>
      <c r="C12" s="64" t="n">
        <v>0.206</v>
      </c>
      <c r="D12" s="64" t="n">
        <v>0.206</v>
      </c>
      <c r="E12" s="62" t="inlineStr">
        <is>
          <t>Standard rate; no material permanent differences</t>
        </is>
      </c>
    </row>
    <row r="13" ht="15" customHeight="1">
      <c r="A13" s="58" t="inlineStr">
        <is>
          <t>Netherlands — MCP BidCo BV</t>
        </is>
      </c>
      <c r="B13" s="64" t="n">
        <v>0.258</v>
      </c>
      <c r="C13" s="64" t="n">
        <v>0.258</v>
      </c>
      <c r="D13" s="64" t="n">
        <v>0.258</v>
      </c>
      <c r="E13" s="62" t="inlineStr">
        <is>
          <t>Holding entity; limited local P&amp;L</t>
        </is>
      </c>
    </row>
    <row r="14" ht="15" customHeight="1">
      <c r="A14" s="58" t="inlineStr">
        <is>
          <t>Netherlands — Nordenvik BV</t>
        </is>
      </c>
      <c r="B14" s="64" t="n">
        <v>0.112</v>
      </c>
      <c r="C14" s="64" t="n">
        <v>0.115</v>
      </c>
      <c r="D14" s="64" t="n">
        <v>0.118</v>
      </c>
      <c r="E14" s="62" t="inlineStr">
        <is>
          <t>Blended IP-box rate; conditional on DEMPE substance</t>
        </is>
      </c>
    </row>
    <row r="15" ht="15" customHeight="1">
      <c r="A15" s="58" t="inlineStr">
        <is>
          <t>Luxembourg — MCP HoldCo</t>
        </is>
      </c>
      <c r="B15" s="64" t="n">
        <v>0.002</v>
      </c>
      <c r="C15" s="64" t="n">
        <v>0.002</v>
      </c>
      <c r="D15" s="64" t="n">
        <v>0.002</v>
      </c>
      <c r="E15" s="62" t="inlineStr">
        <is>
          <t>Participation exemption; Pillar Two exposure if in scope</t>
        </is>
      </c>
    </row>
    <row r="16" ht="15" customHeight="1">
      <c r="A16" s="58" t="inlineStr">
        <is>
          <t>Germany — Nordenvik Deutschland</t>
        </is>
      </c>
      <c r="B16" s="64" t="n">
        <v>0.302</v>
      </c>
      <c r="C16" s="64" t="n">
        <v>0.297</v>
      </c>
      <c r="D16" s="64" t="n">
        <v>0.297</v>
      </c>
      <c r="E16" s="62" t="inlineStr">
        <is>
          <t>Combined CIT+GewSt; Zinsschranke drag</t>
        </is>
      </c>
    </row>
    <row r="17" ht="15" customHeight="1">
      <c r="A17" s="58" t="inlineStr">
        <is>
          <t>Singapore — Nordenvik Asia</t>
        </is>
      </c>
      <c r="B17" s="78" t="n">
        <v>0.05</v>
      </c>
      <c r="C17" s="78" t="n">
        <v>0.078</v>
      </c>
      <c r="D17" s="78" t="n">
        <v>0.102</v>
      </c>
      <c r="E17" s="62" t="inlineStr">
        <is>
          <t>Doc 5: DEI 5%→phase to 17%. CORRECTED FY25: 17% (Pioneer expired)</t>
        </is>
      </c>
    </row>
    <row r="18" ht="15" customHeight="1">
      <c r="A18" s="58" t="inlineStr">
        <is>
          <t>United States — Nordenvik Inc.</t>
        </is>
      </c>
      <c r="B18" s="64" t="n">
        <v>0.255</v>
      </c>
      <c r="C18" s="64" t="n">
        <v>0.255</v>
      </c>
      <c r="D18" s="64" t="n">
        <v>0.255</v>
      </c>
      <c r="E18" s="62" t="inlineStr">
        <is>
          <t>Federal 21% + blended state ~4.5%</t>
        </is>
      </c>
    </row>
    <row r="19" ht="15" customHeight="1">
      <c r="A19" s="58" t="inlineStr">
        <is>
          <t>United Kingdom — Nordenvik UK</t>
        </is>
      </c>
      <c r="B19" s="64" t="n">
        <v>0.25</v>
      </c>
      <c r="C19" s="64" t="n">
        <v>0.25</v>
      </c>
      <c r="D19" s="64" t="n">
        <v>0.25</v>
      </c>
      <c r="E19" s="62" t="inlineStr">
        <is>
          <t>Main rate from April 2023</t>
        </is>
      </c>
    </row>
    <row r="20" ht="15" customHeight="1"/>
    <row r="21" ht="24" customHeight="1">
      <c r="B21" s="27" t="inlineStr">
        <is>
          <t>C. Base case vs optimized ETR (Doc 5 §7.3)</t>
        </is>
      </c>
    </row>
    <row r="22" ht="15" customHeight="1">
      <c r="A22" s="39" t="inlineStr">
        <is>
          <t>Scenario</t>
        </is>
      </c>
      <c r="B22" s="39" t="inlineStr">
        <is>
          <t>FY2025</t>
        </is>
      </c>
      <c r="C22" s="39" t="inlineStr">
        <is>
          <t>FY2026</t>
        </is>
      </c>
      <c r="D22" s="39" t="inlineStr">
        <is>
          <t>FY2027</t>
        </is>
      </c>
      <c r="E22" s="39" t="inlineStr">
        <is>
          <t>FY2028</t>
        </is>
      </c>
      <c r="F22" s="39" t="inlineStr">
        <is>
          <t>FY2029</t>
        </is>
      </c>
      <c r="G22" s="39" t="inlineStr">
        <is>
          <t>FY2030</t>
        </is>
      </c>
      <c r="H22" s="39" t="inlineStr">
        <is>
          <t>6-yr tax saving (EUR M)</t>
        </is>
      </c>
      <c r="I22" s="39" t="n"/>
    </row>
    <row r="23" ht="15" customHeight="1">
      <c r="A23" s="58" t="inlineStr">
        <is>
          <t>Base case ETR</t>
        </is>
      </c>
      <c r="B23" s="64" t="n">
        <v>0.181</v>
      </c>
      <c r="C23" s="64" t="n">
        <v>0.196</v>
      </c>
      <c r="D23" s="64" t="n">
        <v>0.229</v>
      </c>
      <c r="E23" s="64" t="n">
        <v>0.233</v>
      </c>
      <c r="F23" s="64" t="n">
        <v>0.232</v>
      </c>
      <c r="G23" s="64" t="n">
        <v>0.229</v>
      </c>
    </row>
    <row r="24" ht="15" customHeight="1">
      <c r="A24" s="58" t="inlineStr">
        <is>
          <t>Optimized ETR (recommendations implemented)</t>
        </is>
      </c>
      <c r="B24" s="64" t="n">
        <v>0.174</v>
      </c>
      <c r="C24" s="64" t="n">
        <v>0.183</v>
      </c>
      <c r="D24" s="64" t="n">
        <v>0.215</v>
      </c>
      <c r="E24" s="64" t="n">
        <v>0.22</v>
      </c>
      <c r="F24" s="64" t="n">
        <v>0.218</v>
      </c>
      <c r="G24" s="64" t="n">
        <v>0.216</v>
      </c>
    </row>
    <row r="25" ht="15" customHeight="1">
      <c r="A25" s="56" t="inlineStr">
        <is>
          <t>ETR improvement (pp)</t>
        </is>
      </c>
      <c r="B25" s="64" t="n">
        <v>0.007</v>
      </c>
      <c r="C25" s="64" t="n">
        <v>0.013</v>
      </c>
      <c r="D25" s="64" t="n">
        <v>0.014</v>
      </c>
      <c r="E25" s="64" t="n">
        <v>0.013</v>
      </c>
      <c r="F25" s="64" t="n">
        <v>0.014</v>
      </c>
      <c r="G25" s="64" t="n">
        <v>0.013</v>
      </c>
    </row>
    <row r="26" ht="15" customHeight="1">
      <c r="A26" s="56" t="inlineStr">
        <is>
          <t>Tax savings (EUR M)</t>
        </is>
      </c>
      <c r="B26" s="79" t="n">
        <v>0.15</v>
      </c>
      <c r="C26" s="79" t="n">
        <v>0.35</v>
      </c>
      <c r="D26" s="79" t="n">
        <v>0.47</v>
      </c>
      <c r="E26" s="79" t="n">
        <v>0.51</v>
      </c>
      <c r="F26" s="79" t="n">
        <v>0.63</v>
      </c>
      <c r="G26" s="79" t="n">
        <v>0.67</v>
      </c>
      <c r="H26" s="79" t="n">
        <v>2.78</v>
      </c>
    </row>
    <row r="27" ht="15" customHeight="1"/>
    <row r="28" ht="45" customHeight="1">
      <c r="B28" s="54" t="inlineStr">
        <is>
          <t>Optimized assumes: Zinsschranke optimization from FY26; DEMPE substance secures IP-box; no Pillar Two within period; Singapore DEI maintained. NOTE: Doc 5 'optimized' still uses erroneous Singapore 5% and Swedish zero-disallowance — true optimized ETR is higher. Re-underwrite required.</t>
        </is>
      </c>
    </row>
  </sheetData>
  <mergeCells count="14">
    <mergeCell ref="B21:I21"/>
    <mergeCell ref="E12:I12"/>
    <mergeCell ref="A2:I2"/>
    <mergeCell ref="E15:I15"/>
    <mergeCell ref="E16:I16"/>
    <mergeCell ref="B10:I10"/>
    <mergeCell ref="A1:I1"/>
    <mergeCell ref="E13:I13"/>
    <mergeCell ref="E19:I19"/>
    <mergeCell ref="B28:I28"/>
    <mergeCell ref="E14:I14"/>
    <mergeCell ref="E17:I17"/>
    <mergeCell ref="B4:I4"/>
    <mergeCell ref="E18:I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34" customWidth="1" min="8" max="8"/>
    <col width="3" customWidth="1" min="9" max="9"/>
  </cols>
  <sheetData>
    <row r="1" ht="28" customHeight="1">
      <c r="A1" s="59" t="inlineStr">
        <is>
          <t>TAX ATTRIBUTES, LOSSES &amp; STRUCTURAL BENEFITS</t>
        </is>
      </c>
    </row>
    <row r="2" ht="18" customHeight="1">
      <c r="A2" s="60" t="inlineStr">
        <is>
          <t>Swedish NOLs, German §8c losses, DTAs, Dutch fiscal-unity benefit, German audit contingent.</t>
        </is>
      </c>
    </row>
    <row r="3" ht="15" customHeight="1"/>
    <row r="4" ht="24" customHeight="1">
      <c r="B4" s="21" t="inlineStr">
        <is>
          <t>A. Swedish NOL carryforward — Nordenvik Group AB</t>
        </is>
      </c>
    </row>
    <row r="5" ht="15" customHeight="1">
      <c r="A5" s="14" t="inlineStr">
        <is>
          <t>Line</t>
        </is>
      </c>
      <c r="B5" s="14" t="inlineStr">
        <is>
          <t>FY2025</t>
        </is>
      </c>
      <c r="C5" s="14" t="inlineStr">
        <is>
          <t>FY2026</t>
        </is>
      </c>
      <c r="D5" s="14" t="inlineStr">
        <is>
          <t>FY2027</t>
        </is>
      </c>
      <c r="E5" s="14" t="inlineStr">
        <is>
          <t>FY2028</t>
        </is>
      </c>
      <c r="F5" s="14" t="inlineStr">
        <is>
          <t>FY2029</t>
        </is>
      </c>
      <c r="G5" s="14" t="inlineStr">
        <is>
          <t>FY2030</t>
        </is>
      </c>
      <c r="H5" s="14" t="inlineStr">
        <is>
          <t>Note</t>
        </is>
      </c>
      <c r="I5" s="14" t="n"/>
    </row>
    <row r="6" ht="15" customHeight="1">
      <c r="A6" s="58" t="inlineStr">
        <is>
          <t>Opening NOL (SEK M)</t>
        </is>
      </c>
      <c r="B6" s="71" t="n">
        <v>187</v>
      </c>
      <c r="C6" s="71" t="n">
        <v>95</v>
      </c>
      <c r="D6" s="71" t="n">
        <v>15</v>
      </c>
      <c r="E6" s="71" t="n">
        <v>0</v>
      </c>
      <c r="F6" s="71" t="n">
        <v>0</v>
      </c>
      <c r="G6" s="71" t="n">
        <v>0</v>
      </c>
      <c r="H6" s="62" t="inlineStr">
        <is>
          <t>Doc 14</t>
        </is>
      </c>
    </row>
    <row r="7" ht="15" customHeight="1">
      <c r="A7" s="58" t="inlineStr">
        <is>
          <t>NOL utilized (SEK M)</t>
        </is>
      </c>
      <c r="B7" s="71" t="n">
        <v>92</v>
      </c>
      <c r="C7" s="71" t="n">
        <v>80</v>
      </c>
      <c r="D7" s="71" t="n">
        <v>15</v>
      </c>
      <c r="E7" s="71" t="n">
        <v>0</v>
      </c>
      <c r="F7" s="71" t="n">
        <v>0</v>
      </c>
      <c r="G7" s="71" t="n">
        <v>0</v>
      </c>
      <c r="H7" s="62" t="inlineStr">
        <is>
          <t>Doc 5 §1.1</t>
        </is>
      </c>
    </row>
    <row r="8" ht="15" customHeight="1">
      <c r="A8" s="58" t="inlineStr">
        <is>
          <t>Closing NOL (SEK M)</t>
        </is>
      </c>
      <c r="B8" s="71" t="n">
        <v>95</v>
      </c>
      <c r="C8" s="71" t="n">
        <v>15</v>
      </c>
      <c r="D8" s="71" t="n">
        <v>0</v>
      </c>
      <c r="E8" s="71" t="n">
        <v>0</v>
      </c>
      <c r="F8" s="71" t="n">
        <v>0</v>
      </c>
      <c r="G8" s="71" t="n">
        <v>0</v>
      </c>
      <c r="H8" s="16" t="inlineStr"/>
    </row>
    <row r="9" ht="15" customHeight="1">
      <c r="A9" s="58" t="inlineStr">
        <is>
          <t>DTA value (SEK M) @20.6%</t>
        </is>
      </c>
      <c r="B9" s="71" t="n">
        <v>38.5</v>
      </c>
      <c r="C9" s="71" t="n">
        <v>38.5</v>
      </c>
      <c r="D9" s="71" t="n">
        <v>38.5</v>
      </c>
      <c r="E9" s="71" t="n">
        <v>38.5</v>
      </c>
      <c r="F9" s="71" t="n">
        <v>38.5</v>
      </c>
      <c r="G9" s="71" t="n">
        <v>38.5</v>
      </c>
      <c r="H9" s="62" t="inlineStr">
        <is>
          <t>Survives share deal (40 kap. IL)</t>
        </is>
      </c>
    </row>
    <row r="10" ht="15" customHeight="1">
      <c r="A10" s="58" t="inlineStr">
        <is>
          <t>Beloppsspärren limit (SEK M)</t>
        </is>
      </c>
      <c r="B10" s="71" t="n">
        <v>5151</v>
      </c>
      <c r="C10" s="71" t="n">
        <v>5151</v>
      </c>
      <c r="D10" s="71" t="n">
        <v>5151</v>
      </c>
      <c r="E10" s="71" t="n">
        <v>5151</v>
      </c>
      <c r="F10" s="71" t="n">
        <v>5151</v>
      </c>
      <c r="G10" s="71" t="n">
        <v>5151</v>
      </c>
      <c r="H10" s="62" t="inlineStr">
        <is>
          <t>200% × acq. cost; NOL well below</t>
        </is>
      </c>
    </row>
    <row r="11" ht="15" customHeight="1">
      <c r="A11" s="58" t="inlineStr">
        <is>
          <t>Koncernbidragsspärr (lock-out)</t>
        </is>
      </c>
      <c r="B11" s="34" t="inlineStr">
        <is>
          <t>Yes</t>
        </is>
      </c>
      <c r="C11" s="34" t="inlineStr">
        <is>
          <t>Yes</t>
        </is>
      </c>
      <c r="D11" s="34" t="inlineStr">
        <is>
          <t>Yes</t>
        </is>
      </c>
      <c r="E11" s="34" t="inlineStr">
        <is>
          <t>Yes</t>
        </is>
      </c>
      <c r="F11" s="34" t="inlineStr">
        <is>
          <t>Yes</t>
        </is>
      </c>
      <c r="G11" s="34" t="inlineStr">
        <is>
          <t>Yes</t>
        </is>
      </c>
      <c r="H11" s="62" t="inlineStr">
        <is>
          <t>~5–6 yr lock-out vs new group members</t>
        </is>
      </c>
    </row>
    <row r="12" ht="15" customHeight="1"/>
    <row r="13" ht="15" customHeight="1"/>
    <row r="14" ht="24" customHeight="1">
      <c r="B14" s="28" t="inlineStr">
        <is>
          <t>B. German §8c loss forfeiture — Nordenvik Deutschland GmbH</t>
        </is>
      </c>
    </row>
    <row r="15" ht="15" customHeight="1">
      <c r="A15" s="36" t="inlineStr">
        <is>
          <t>Item</t>
        </is>
      </c>
      <c r="B15" s="36" t="inlineStr">
        <is>
          <t>Amount (EUR M)</t>
        </is>
      </c>
      <c r="C15" s="36" t="inlineStr">
        <is>
          <t>Tax value (EUR M)</t>
        </is>
      </c>
      <c r="D15" s="36" t="inlineStr">
        <is>
          <t>Status</t>
        </is>
      </c>
      <c r="E15" s="36" t="inlineStr"/>
      <c r="F15" s="36" t="inlineStr"/>
      <c r="G15" s="36" t="inlineStr"/>
      <c r="H15" s="36" t="inlineStr">
        <is>
          <t>Note</t>
        </is>
      </c>
      <c r="I15" s="36" t="n"/>
    </row>
    <row r="16" ht="30" customHeight="1">
      <c r="A16" s="58" t="inlineStr">
        <is>
          <t>KSt loss carryforward</t>
        </is>
      </c>
      <c r="B16" s="71" t="n">
        <v>14.2</v>
      </c>
      <c r="C16" s="71" t="n">
        <v>2.247</v>
      </c>
      <c r="D16" s="58" t="inlineStr">
        <is>
          <t>Forfeit on closing</t>
        </is>
      </c>
      <c r="E16" s="62" t="inlineStr">
        <is>
          <t>§8c(1) KStG; 15% + SolZ 5.5%</t>
        </is>
      </c>
    </row>
    <row r="17" ht="30" customHeight="1">
      <c r="A17" s="58" t="inlineStr">
        <is>
          <t>GewSt loss carryforward</t>
        </is>
      </c>
      <c r="B17" s="71" t="n">
        <v>9.800000000000001</v>
      </c>
      <c r="C17" s="71" t="n">
        <v>1.681</v>
      </c>
      <c r="D17" s="58" t="inlineStr">
        <is>
          <t>Forfeit on closing</t>
        </is>
      </c>
      <c r="E17" s="62" t="inlineStr">
        <is>
          <t>Hebesatz 490% → 17.15%</t>
        </is>
      </c>
    </row>
    <row r="18" ht="30" customHeight="1">
      <c r="A18" s="58" t="inlineStr">
        <is>
          <t>Total forfeitable losses</t>
        </is>
      </c>
      <c r="B18" s="71" t="n">
        <v>24</v>
      </c>
      <c r="C18" s="71" t="n">
        <v>3.928</v>
      </c>
      <c r="D18" s="58" t="inlineStr">
        <is>
          <t>Forfeit absent Stille Reserven</t>
        </is>
      </c>
      <c r="E18" s="62" t="inlineStr">
        <is>
          <t>Doc 8 §3.3–3.4</t>
        </is>
      </c>
    </row>
    <row r="19" ht="30" customHeight="1">
      <c r="A19" s="58" t="inlineStr">
        <is>
          <t>Stille Reserven exception</t>
        </is>
      </c>
      <c r="B19" s="29" t="n"/>
      <c r="C19" s="29" t="n"/>
      <c r="D19" s="80" t="inlineStr">
        <is>
          <t>ANALYSIS NOT PERFORMED</t>
        </is>
      </c>
      <c r="E19" s="62" t="inlineStr">
        <is>
          <t>§8c(1) Satz 6 — critical gap</t>
        </is>
      </c>
    </row>
    <row r="20" ht="15" customHeight="1">
      <c r="A20" s="58" t="inlineStr">
        <is>
          <t>§8d KStG election</t>
        </is>
      </c>
      <c r="B20" s="29" t="n"/>
      <c r="C20" s="29" t="n"/>
      <c r="D20" s="56" t="inlineStr">
        <is>
          <t>Not viable</t>
        </is>
      </c>
      <c r="E20" s="62" t="inlineStr">
        <is>
          <t>Step 5 merger triggers forfeiture</t>
        </is>
      </c>
    </row>
    <row r="21" ht="30" customHeight="1">
      <c r="A21" s="58" t="inlineStr">
        <is>
          <t>German audit contingent (FY19-21)</t>
        </is>
      </c>
      <c r="B21" s="71" t="n">
        <v>2.4</v>
      </c>
      <c r="C21" s="29" t="n"/>
      <c r="D21" s="58" t="inlineStr">
        <is>
          <t>Under appeal; RWI-excluded</t>
        </is>
      </c>
      <c r="E21" s="62" t="inlineStr">
        <is>
          <t>€2.1M + €0.3M interest</t>
        </is>
      </c>
    </row>
    <row r="22" ht="15" customHeight="1"/>
    <row r="23" ht="15" customHeight="1"/>
    <row r="24" ht="24" customHeight="1">
      <c r="B24" s="27" t="inlineStr">
        <is>
          <t>C. Dutch fiscal unity benefit (BidCo BV + Nordenvik BV)</t>
        </is>
      </c>
    </row>
    <row r="25" ht="15" customHeight="1">
      <c r="A25" s="39" t="inlineStr">
        <is>
          <t>Line</t>
        </is>
      </c>
      <c r="B25" s="39" t="inlineStr">
        <is>
          <t>FY2025</t>
        </is>
      </c>
      <c r="C25" s="39" t="inlineStr">
        <is>
          <t>FY2026</t>
        </is>
      </c>
      <c r="D25" s="39" t="inlineStr">
        <is>
          <t>FY2027</t>
        </is>
      </c>
      <c r="E25" s="39" t="inlineStr">
        <is>
          <t>FY2028</t>
        </is>
      </c>
      <c r="F25" s="39" t="inlineStr">
        <is>
          <t>FY2029</t>
        </is>
      </c>
      <c r="G25" s="39" t="inlineStr">
        <is>
          <t>FY2030</t>
        </is>
      </c>
      <c r="H25" s="39" t="inlineStr">
        <is>
          <t>Note</t>
        </is>
      </c>
      <c r="I25" s="39" t="n"/>
    </row>
    <row r="26" ht="15" customHeight="1">
      <c r="A26" s="58" t="inlineStr">
        <is>
          <t>BidCo TLB interest expense (EUR M)</t>
        </is>
      </c>
      <c r="B26" s="71" t="n">
        <v>10.7</v>
      </c>
      <c r="C26" s="71" t="n">
        <v>10.38</v>
      </c>
      <c r="D26" s="71" t="n">
        <v>10.05</v>
      </c>
      <c r="E26" s="71" t="n">
        <v>9.73</v>
      </c>
      <c r="F26" s="71" t="n">
        <v>9.4</v>
      </c>
      <c r="G26" s="71" t="n">
        <v>9.08</v>
      </c>
      <c r="H26" s="62" t="inlineStr">
        <is>
          <t>Doc 5</t>
        </is>
      </c>
    </row>
    <row r="27" ht="15" customHeight="1">
      <c r="A27" s="58" t="inlineStr">
        <is>
          <t>Nordenvik BV royalty income (EUR M)</t>
        </is>
      </c>
      <c r="B27" s="71" t="n">
        <v>18.95</v>
      </c>
      <c r="C27" s="71" t="n">
        <v>19.9</v>
      </c>
      <c r="D27" s="71" t="n">
        <v>20.89</v>
      </c>
      <c r="E27" s="71" t="n">
        <v>21.94</v>
      </c>
      <c r="F27" s="71" t="n">
        <v>23.04</v>
      </c>
      <c r="G27" s="71" t="n">
        <v>24.19</v>
      </c>
      <c r="H27" s="62" t="inlineStr">
        <is>
          <t>Doc 5</t>
        </is>
      </c>
    </row>
    <row r="28" ht="15" customHeight="1">
      <c r="A28" s="58" t="inlineStr">
        <is>
          <t>Combined taxable income (EUR M)</t>
        </is>
      </c>
      <c r="B28" s="71" t="n">
        <v>6.19</v>
      </c>
      <c r="C28" s="71" t="n">
        <v>7.39</v>
      </c>
      <c r="D28" s="71" t="n">
        <v>8.65</v>
      </c>
      <c r="E28" s="71" t="n">
        <v>9.949999999999999</v>
      </c>
      <c r="F28" s="71" t="n">
        <v>11.31</v>
      </c>
      <c r="G28" s="71" t="n">
        <v>12.71</v>
      </c>
      <c r="H28" s="62" t="inlineStr">
        <is>
          <t>Offset within unity</t>
        </is>
      </c>
    </row>
    <row r="29" ht="15" customHeight="1">
      <c r="A29" s="56" t="inlineStr">
        <is>
          <t>Tax saving vs BV-only (EUR M)</t>
        </is>
      </c>
      <c r="B29" s="79" t="n">
        <v>2.73</v>
      </c>
      <c r="C29" s="79" t="n">
        <v>2.65</v>
      </c>
      <c r="D29" s="79" t="n">
        <v>2.57</v>
      </c>
      <c r="E29" s="79" t="n">
        <v>2.48</v>
      </c>
      <c r="F29" s="79" t="n">
        <v>2.4</v>
      </c>
      <c r="G29" s="79" t="n">
        <v>2.32</v>
      </c>
      <c r="H29" s="62" t="inlineStr">
        <is>
          <t>Doc 5; ~EUR 2.76M/yr</t>
        </is>
      </c>
    </row>
    <row r="30" ht="15" customHeight="1">
      <c r="A30" s="56" t="inlineStr">
        <is>
          <t>6-yr cumulative saving (EUR M)</t>
        </is>
      </c>
      <c r="H30" s="62" t="inlineStr">
        <is>
          <t>SUM above → ~15.15</t>
        </is>
      </c>
    </row>
    <row r="31" ht="15" customHeight="1"/>
    <row r="32" ht="30" customHeight="1">
      <c r="B32" s="54" t="inlineStr">
        <is>
          <t>Fiscal unity contingent on: (i) 95%+ indirect ownership via Swedish intermediate (per-element approach — Dutch counsel to confirm); (ii) Nordenvik BV substance remediation; (iii) APA renewal. Filing deadline: within 3 months of desired effective date (target 1 Apr 2025 → file by 1 Jul 2025).</t>
        </is>
      </c>
    </row>
  </sheetData>
  <mergeCells count="12">
    <mergeCell ref="E21:I21"/>
    <mergeCell ref="A2:I2"/>
    <mergeCell ref="E20:I20"/>
    <mergeCell ref="E16:I16"/>
    <mergeCell ref="B24:I24"/>
    <mergeCell ref="A1:I1"/>
    <mergeCell ref="E19:I19"/>
    <mergeCell ref="B14:I14"/>
    <mergeCell ref="E17:I17"/>
    <mergeCell ref="B32:I32"/>
    <mergeCell ref="B4:I4"/>
    <mergeCell ref="E18:I1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34" customWidth="1" min="7" max="7"/>
  </cols>
  <sheetData>
    <row r="1" ht="28" customHeight="1">
      <c r="A1" s="59" t="inlineStr">
        <is>
          <t>PILLAR TWO (GloBE) — IMPACT ASSESSMENT</t>
        </is>
      </c>
    </row>
    <row r="2" ht="18" customHeight="1">
      <c r="A2" s="60" t="inlineStr">
        <is>
          <t>Group currently OUT of scope (FY23 rev €312M &lt; €750M). Illustrative pro forma if threshold crossed (~FY2029–2032).</t>
        </is>
      </c>
    </row>
    <row r="3" ht="15" customHeight="1"/>
    <row r="4" ht="24" customHeight="1">
      <c r="B4" s="21" t="inlineStr">
        <is>
          <t>A. Scope determination</t>
        </is>
      </c>
    </row>
    <row r="5" ht="45" customHeight="1">
      <c r="B5" s="58" t="inlineStr">
        <is>
          <t>Consolidated revenue FY2023 (EUR M)</t>
        </is>
      </c>
      <c r="C5" s="42" t="n">
        <v>312</v>
      </c>
      <c r="D5" s="62" t="inlineStr">
        <is>
          <t>Below €750M threshold</t>
        </is>
      </c>
    </row>
    <row r="6" ht="45" customHeight="1">
      <c r="B6" s="58" t="inlineStr">
        <is>
          <t>Consolidated revenue FY2024E (EUR M)</t>
        </is>
      </c>
      <c r="C6" s="42" t="n">
        <v>358</v>
      </c>
      <c r="D6" s="62" t="inlineStr">
        <is>
          <t>Below threshold</t>
        </is>
      </c>
    </row>
    <row r="7" ht="30" customHeight="1">
      <c r="B7" s="58" t="inlineStr">
        <is>
          <t>Projected threshold breach</t>
        </is>
      </c>
      <c r="C7" s="42" t="inlineStr">
        <is>
          <t>FY2031–FY2032</t>
        </is>
      </c>
      <c r="D7" s="62" t="inlineStr">
        <is>
          <t>12–14% revenue CAGR</t>
        </is>
      </c>
    </row>
    <row r="8" ht="15" customHeight="1">
      <c r="B8" s="58" t="inlineStr">
        <is>
          <t>Current status</t>
        </is>
      </c>
      <c r="C8" s="42" t="inlineStr">
        <is>
          <t>NOT IN SCOPE</t>
        </is>
      </c>
      <c r="D8" s="62" t="inlineStr">
        <is>
          <t>Monitoring required</t>
        </is>
      </c>
    </row>
    <row r="9" ht="15" customHeight="1"/>
    <row r="10" ht="24" customHeight="1">
      <c r="B10" s="21" t="inlineStr">
        <is>
          <t>B. Illustrative jurisdictional top-up tax (pro forma FY2027)</t>
        </is>
      </c>
    </row>
    <row r="11" ht="30" customHeight="1">
      <c r="A11" s="14" t="inlineStr">
        <is>
          <t>Jurisdiction</t>
        </is>
      </c>
      <c r="B11" s="14" t="inlineStr">
        <is>
          <t>GloBE ETR</t>
        </is>
      </c>
      <c r="C11" s="14" t="inlineStr">
        <is>
          <t>Minimum</t>
        </is>
      </c>
      <c r="D11" s="14" t="inlineStr">
        <is>
          <t>Top-up required?</t>
        </is>
      </c>
      <c r="E11" s="14" t="inlineStr">
        <is>
          <t>Est. top-up (EUR M)</t>
        </is>
      </c>
      <c r="F11" s="14" t="inlineStr">
        <is>
          <t>Collecting jurisdiction</t>
        </is>
      </c>
      <c r="G11" s="14" t="n"/>
    </row>
    <row r="12" ht="15" customHeight="1">
      <c r="A12" s="58" t="inlineStr">
        <is>
          <t>Sweden</t>
        </is>
      </c>
      <c r="B12" s="64" t="n">
        <v>0.206</v>
      </c>
      <c r="C12" s="64" t="n">
        <v>0.15</v>
      </c>
      <c r="D12" s="56" t="inlineStr">
        <is>
          <t>No</t>
        </is>
      </c>
      <c r="F12" s="62" t="inlineStr">
        <is>
          <t>N/A</t>
        </is>
      </c>
    </row>
    <row r="13" ht="15" customHeight="1">
      <c r="A13" s="58" t="inlineStr">
        <is>
          <t>Netherlands (BidCo)</t>
        </is>
      </c>
      <c r="B13" s="64" t="n">
        <v>0.258</v>
      </c>
      <c r="C13" s="64" t="n">
        <v>0.15</v>
      </c>
      <c r="D13" s="56" t="inlineStr">
        <is>
          <t>No</t>
        </is>
      </c>
      <c r="F13" s="62" t="inlineStr">
        <is>
          <t>N/A</t>
        </is>
      </c>
    </row>
    <row r="14" ht="30" customHeight="1">
      <c r="A14" s="58" t="inlineStr">
        <is>
          <t>Netherlands (Nordenvik BV)</t>
        </is>
      </c>
      <c r="B14" s="64" t="n">
        <v>0.115</v>
      </c>
      <c r="C14" s="64" t="n">
        <v>0.15</v>
      </c>
      <c r="D14" s="80" t="inlineStr">
        <is>
          <t>Yes</t>
        </is>
      </c>
      <c r="E14" s="75" t="n">
        <v>0.42</v>
      </c>
      <c r="F14" s="62" t="inlineStr">
        <is>
          <t>SE (IIR) or NL (QDMTT)</t>
        </is>
      </c>
    </row>
    <row r="15" ht="30" customHeight="1">
      <c r="A15" s="58" t="inlineStr">
        <is>
          <t>Luxembourg</t>
        </is>
      </c>
      <c r="B15" s="64" t="n">
        <v>0.002</v>
      </c>
      <c r="C15" s="64" t="n">
        <v>0.15</v>
      </c>
      <c r="D15" s="80" t="inlineStr">
        <is>
          <t>Yes</t>
        </is>
      </c>
      <c r="E15" s="75" t="n">
        <v>0.18</v>
      </c>
      <c r="F15" s="62" t="inlineStr">
        <is>
          <t>SE (IIR) or LU (QDMTT)</t>
        </is>
      </c>
    </row>
    <row r="16" ht="15" customHeight="1">
      <c r="A16" s="58" t="inlineStr">
        <is>
          <t>Germany</t>
        </is>
      </c>
      <c r="B16" s="64" t="n">
        <v>0.297</v>
      </c>
      <c r="C16" s="64" t="n">
        <v>0.15</v>
      </c>
      <c r="D16" s="56" t="inlineStr">
        <is>
          <t>No</t>
        </is>
      </c>
      <c r="F16" s="62" t="inlineStr">
        <is>
          <t>N/A</t>
        </is>
      </c>
    </row>
    <row r="17" ht="30" customHeight="1">
      <c r="A17" s="58" t="inlineStr">
        <is>
          <t>Singapore</t>
        </is>
      </c>
      <c r="B17" s="64" t="n">
        <v>0.078</v>
      </c>
      <c r="C17" s="64" t="n">
        <v>0.15</v>
      </c>
      <c r="D17" s="80" t="inlineStr">
        <is>
          <t>Yes</t>
        </is>
      </c>
      <c r="E17" s="75" t="n">
        <v>0.61</v>
      </c>
      <c r="F17" s="62" t="inlineStr">
        <is>
          <t>SE (IIR) or SG (DMTT)</t>
        </is>
      </c>
    </row>
    <row r="18" ht="15" customHeight="1">
      <c r="A18" s="58" t="inlineStr">
        <is>
          <t>United States</t>
        </is>
      </c>
      <c r="B18" s="64" t="n">
        <v>0.255</v>
      </c>
      <c r="C18" s="64" t="n">
        <v>0.15</v>
      </c>
      <c r="D18" s="56" t="inlineStr">
        <is>
          <t>No</t>
        </is>
      </c>
      <c r="F18" s="62" t="inlineStr">
        <is>
          <t>N/A</t>
        </is>
      </c>
    </row>
    <row r="19" ht="15" customHeight="1">
      <c r="A19" s="58" t="inlineStr">
        <is>
          <t>United Kingdom</t>
        </is>
      </c>
      <c r="B19" s="64" t="n">
        <v>0.25</v>
      </c>
      <c r="C19" s="64" t="n">
        <v>0.15</v>
      </c>
      <c r="D19" s="56" t="inlineStr">
        <is>
          <t>No</t>
        </is>
      </c>
      <c r="F19" s="62" t="inlineStr">
        <is>
          <t>N/A</t>
        </is>
      </c>
    </row>
    <row r="20" ht="15" customHeight="1">
      <c r="A20" s="69" t="inlineStr">
        <is>
          <t>Total illustrative top-up tax</t>
        </is>
      </c>
      <c r="E20" s="70" t="n">
        <v>1.21</v>
      </c>
    </row>
    <row r="21" ht="15" customHeight="1"/>
    <row r="22" ht="20" customHeight="1">
      <c r="B22" s="62" t="inlineStr">
        <is>
          <t>• NL IP-box (BV ~11.5%) and LU (0.2%) and SG DEI (5–7.8%) fall below 15% → top-up if in scope.</t>
        </is>
      </c>
    </row>
    <row r="23" ht="20" customHeight="1">
      <c r="B23" s="62" t="inlineStr">
        <is>
          <t>• QDMTT enacted in NL, LU, SE, DE; SG DMTT expected FY2025. Top-up revenue retained locally if QDMTT applies.</t>
        </is>
      </c>
    </row>
    <row r="24" ht="20" customHeight="1">
      <c r="B24" s="62" t="inlineStr">
        <is>
          <t>• SBIE limited — asset-light group; minimal payroll/asset carve-out.</t>
        </is>
      </c>
    </row>
    <row r="25" ht="20" customHeight="1">
      <c r="B25" s="62" t="inlineStr">
        <is>
          <t>• Transitional CbCR safe harbor through FY2026 — maintain CbCR data quality.</t>
        </is>
      </c>
    </row>
    <row r="26" ht="20" customHeight="1">
      <c r="B26" s="62" t="inlineStr">
        <is>
          <t>• Singapore DEI marginal benefit erodes under DMTT (5%→15%). Luxembourg layer may be uneconomic post-Pillar Two.</t>
        </is>
      </c>
    </row>
  </sheetData>
  <mergeCells count="13">
    <mergeCell ref="B24:G24"/>
    <mergeCell ref="B10:G10"/>
    <mergeCell ref="A1:G1"/>
    <mergeCell ref="B22:G22"/>
    <mergeCell ref="D8:G8"/>
    <mergeCell ref="D6:G6"/>
    <mergeCell ref="B23:G23"/>
    <mergeCell ref="D7:G7"/>
    <mergeCell ref="B4:G4"/>
    <mergeCell ref="A2:G2"/>
    <mergeCell ref="B26:G26"/>
    <mergeCell ref="D5:G5"/>
    <mergeCell ref="B25:G2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2" customWidth="1" min="4" max="4"/>
    <col width="18" customWidth="1" min="5" max="5"/>
    <col width="18" customWidth="1" min="6" max="6"/>
    <col width="18" customWidth="1" min="7" max="7"/>
    <col width="34" customWidth="1" min="8" max="8"/>
  </cols>
  <sheetData>
    <row r="1" ht="28" customHeight="1">
      <c r="A1" s="59" t="inlineStr">
        <is>
          <t>DEBT PUSHDOWN STRUCTURAL OPTIONS</t>
        </is>
      </c>
    </row>
    <row r="2" ht="18" customHeight="1">
      <c r="A2" s="60" t="inlineStr">
        <is>
          <t>Comparison of acquisition-debt placement options. Swedish counsel (Doc 7) recommends Option A (retain at BidCo).</t>
        </is>
      </c>
    </row>
    <row r="3" ht="15" customHeight="1"/>
    <row r="4" ht="30" customHeight="1">
      <c r="A4" s="14" t="inlineStr">
        <is>
          <t>Metric</t>
        </is>
      </c>
      <c r="B4" s="14" t="inlineStr">
        <is>
          <t>Option A: Retain at BidCo (NL)</t>
        </is>
      </c>
      <c r="C4" s="14" t="inlineStr">
        <is>
          <t>Option B: Full pushdown to SE</t>
        </is>
      </c>
      <c r="D4" s="14" t="inlineStr">
        <is>
          <t>Option C: Partial pushdown (calibrated)</t>
        </is>
      </c>
      <c r="E4" s="14" t="inlineStr"/>
      <c r="F4" s="14" t="inlineStr"/>
      <c r="G4" s="14" t="inlineStr"/>
      <c r="H4" s="14" t="inlineStr">
        <is>
          <t>Note</t>
        </is>
      </c>
    </row>
    <row r="5" ht="15" customHeight="1">
      <c r="A5" s="56" t="inlineStr">
        <is>
          <t>Debt at BidCo (NL) (EUR M)</t>
        </is>
      </c>
      <c r="B5" s="43" t="n">
        <v>155</v>
      </c>
      <c r="C5" s="43" t="n">
        <v>0</v>
      </c>
      <c r="D5" s="43" t="n">
        <v>100</v>
      </c>
      <c r="E5" s="16" t="inlineStr"/>
    </row>
    <row r="6" ht="15" customHeight="1">
      <c r="A6" s="56" t="inlineStr">
        <is>
          <t>Debt on-lent to Sweden (EUR M)</t>
        </is>
      </c>
      <c r="B6" s="43" t="n">
        <v>0</v>
      </c>
      <c r="C6" s="43" t="n">
        <v>155</v>
      </c>
      <c r="D6" s="43" t="n">
        <v>55</v>
      </c>
      <c r="E6" s="16" t="inlineStr"/>
    </row>
    <row r="7" ht="15" customHeight="1">
      <c r="A7" s="56" t="inlineStr">
        <is>
          <t>SE interest expense (SEK M)</t>
        </is>
      </c>
      <c r="B7" s="43" t="n">
        <v>0</v>
      </c>
      <c r="C7" s="43" t="n">
        <v>128</v>
      </c>
      <c r="D7" s="43" t="n">
        <v>45</v>
      </c>
      <c r="E7" s="62" t="inlineStr">
        <is>
          <t>~EUR 3.9M</t>
        </is>
      </c>
    </row>
    <row r="8" ht="15" customHeight="1">
      <c r="A8" s="56" t="inlineStr">
        <is>
          <t>SE interest disallowance (SEK M)</t>
        </is>
      </c>
      <c r="B8" s="43" t="n">
        <v>0</v>
      </c>
      <c r="C8" s="34" t="inlineStr">
        <is>
          <t>2–14 (mid 8)</t>
        </is>
      </c>
      <c r="D8" s="43" t="n">
        <v>0</v>
      </c>
      <c r="E8" s="62" t="inlineStr">
        <is>
          <t>30% standalone EBITDA cap</t>
        </is>
      </c>
    </row>
    <row r="9" ht="15" customHeight="1">
      <c r="A9" s="56" t="inlineStr">
        <is>
          <t>SE disallowance tax cost (EUR M/yr)</t>
        </is>
      </c>
      <c r="B9" s="43" t="n">
        <v>0</v>
      </c>
      <c r="C9" s="34" t="inlineStr">
        <is>
          <t>0.1–0.6</t>
        </is>
      </c>
      <c r="D9" s="43" t="n">
        <v>0</v>
      </c>
      <c r="E9" s="62" t="inlineStr">
        <is>
          <t>@20.6%</t>
        </is>
      </c>
    </row>
    <row r="10" ht="15" customHeight="1">
      <c r="A10" s="56" t="inlineStr">
        <is>
          <t>NL interest offset vs BV royalty</t>
        </is>
      </c>
      <c r="B10" s="34" t="inlineStr">
        <is>
          <t>Yes (fiscal unity)</t>
        </is>
      </c>
      <c r="C10" s="34" t="inlineStr">
        <is>
          <t>No</t>
        </is>
      </c>
      <c r="D10" s="34" t="inlineStr">
        <is>
          <t>Partial</t>
        </is>
      </c>
      <c r="E10" s="62" t="inlineStr">
        <is>
          <t>Requires fiscal unity</t>
        </is>
      </c>
    </row>
    <row r="11" ht="30" customHeight="1">
      <c r="A11" s="56" t="inlineStr">
        <is>
          <t>NL fiscal-unity tax saving (EUR M/yr)</t>
        </is>
      </c>
      <c r="B11" s="43" t="n">
        <v>2.76</v>
      </c>
      <c r="C11" s="43" t="n">
        <v>0</v>
      </c>
      <c r="D11" s="43" t="n">
        <v>1.78</v>
      </c>
      <c r="E11" s="62" t="inlineStr">
        <is>
          <t>Pro-rata to BidCo interest</t>
        </is>
      </c>
    </row>
    <row r="12" ht="15" customHeight="1">
      <c r="A12" s="56" t="inlineStr">
        <is>
          <t>German Zinsschranke impact</t>
        </is>
      </c>
      <c r="B12" s="34" t="inlineStr">
        <is>
          <t>Unchanged</t>
        </is>
      </c>
      <c r="C12" s="34" t="inlineStr">
        <is>
          <t>Unchanged</t>
        </is>
      </c>
      <c r="D12" s="34" t="inlineStr">
        <is>
          <t>Unchanged</t>
        </is>
      </c>
      <c r="E12" s="62" t="inlineStr">
        <is>
          <t>Separate issue</t>
        </is>
      </c>
    </row>
    <row r="13" ht="30" customHeight="1">
      <c r="A13" s="56" t="inlineStr">
        <is>
          <t>Lender acceptance</t>
        </is>
      </c>
      <c r="B13" s="34" t="inlineStr">
        <is>
          <t>High (default TLB structure)</t>
        </is>
      </c>
      <c r="C13" s="34" t="inlineStr">
        <is>
          <t>Low (direct SE borrow resisted)</t>
        </is>
      </c>
      <c r="D13" s="34" t="inlineStr">
        <is>
          <t>Medium</t>
        </is>
      </c>
      <c r="E13" s="16" t="inlineStr"/>
    </row>
    <row r="14" ht="30" customHeight="1">
      <c r="A14" s="56" t="inlineStr">
        <is>
          <t>TP complexity</t>
        </is>
      </c>
      <c r="B14" s="34" t="inlineStr">
        <is>
          <t>Lower</t>
        </is>
      </c>
      <c r="C14" s="34" t="inlineStr">
        <is>
          <t>Higher (on-lending terms)</t>
        </is>
      </c>
      <c r="D14" s="34" t="inlineStr">
        <is>
          <t>Medium</t>
        </is>
      </c>
      <c r="E14" s="16" t="inlineStr"/>
    </row>
    <row r="15" ht="15" customHeight="1">
      <c r="A15" s="56" t="inlineStr">
        <is>
          <t>Overall tax efficiency</t>
        </is>
      </c>
      <c r="B15" s="44" t="inlineStr">
        <is>
          <t>BEST</t>
        </is>
      </c>
      <c r="C15" s="45" t="inlineStr">
        <is>
          <t>WORST</t>
        </is>
      </c>
      <c r="D15" s="46" t="inlineStr">
        <is>
          <t>Good</t>
        </is>
      </c>
      <c r="E15" s="62" t="inlineStr">
        <is>
          <t>Doc 7 recommendation</t>
        </is>
      </c>
    </row>
    <row r="16" ht="15" customHeight="1"/>
    <row r="17" ht="30" customHeight="1">
      <c r="B17" s="54" t="inlineStr">
        <is>
          <t>RECOMMENDATION: Option A — retain acquisition debt at MCP BidCo BV; offset interest against Nordenvik BV royalty income via Dutch fiscal unity. If partial pushdown required for commercial reasons, cap SE intercompany interest at ~SEK 100–110M (Doc 7 §4.7.2) to preserve headroom under standalone EBITDA cap.</t>
        </is>
      </c>
    </row>
  </sheetData>
  <mergeCells count="14">
    <mergeCell ref="E10:G10"/>
    <mergeCell ref="E13:G13"/>
    <mergeCell ref="E11:G11"/>
    <mergeCell ref="B17:H17"/>
    <mergeCell ref="E14:G14"/>
    <mergeCell ref="E5:G5"/>
    <mergeCell ref="A2:H2"/>
    <mergeCell ref="E8:G8"/>
    <mergeCell ref="E9:G9"/>
    <mergeCell ref="E12:G12"/>
    <mergeCell ref="A1:H1"/>
    <mergeCell ref="E15:G15"/>
    <mergeCell ref="E7:G7"/>
    <mergeCell ref="E6:G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3" customWidth="1" min="8" max="8"/>
  </cols>
  <sheetData>
    <row r="1" ht="28" customHeight="1">
      <c r="A1" s="59" t="inlineStr">
        <is>
          <t>TAX RISK REGISTER</t>
        </is>
      </c>
    </row>
    <row r="2" ht="18" customHeight="1">
      <c r="A2" s="60" t="inlineStr">
        <is>
          <t>Quantified exposure, probability, expected value. Priority drives Action-Item Tracker.</t>
        </is>
      </c>
    </row>
    <row r="3" ht="15" customHeight="1"/>
    <row r="4" ht="30" customHeight="1">
      <c r="A4" s="14" t="inlineStr">
        <is>
          <t>#</t>
        </is>
      </c>
      <c r="B4" s="14" t="inlineStr">
        <is>
          <t>Risk</t>
        </is>
      </c>
      <c r="C4" s="14" t="inlineStr">
        <is>
          <t>Jurisdiction</t>
        </is>
      </c>
      <c r="D4" s="14" t="inlineStr">
        <is>
          <t>Annual exposure (EUR M)</t>
        </is>
      </c>
      <c r="E4" s="14" t="inlineStr">
        <is>
          <t>Probability</t>
        </is>
      </c>
      <c r="F4" s="14" t="inlineStr">
        <is>
          <t>Expected value (EUR M)</t>
        </is>
      </c>
      <c r="G4" s="14" t="inlineStr">
        <is>
          <t>Priority</t>
        </is>
      </c>
      <c r="H4" s="14" t="n"/>
    </row>
    <row r="5" ht="30" customHeight="1">
      <c r="A5" s="56" t="n">
        <v>1</v>
      </c>
      <c r="B5" s="58" t="inlineStr">
        <is>
          <t>German §8c loss forfeiture (€24M losses; €3.8M tax value)</t>
        </is>
      </c>
      <c r="C5" s="22" t="inlineStr">
        <is>
          <t>DE</t>
        </is>
      </c>
      <c r="D5" s="71" t="n">
        <v>3.8</v>
      </c>
      <c r="E5" s="22" t="inlineStr">
        <is>
          <t>High (&gt;90%)</t>
        </is>
      </c>
      <c r="F5" s="71" t="n">
        <v>3.8</v>
      </c>
      <c r="G5" s="80" t="inlineStr">
        <is>
          <t>High — one-off</t>
        </is>
      </c>
    </row>
    <row r="6" ht="30" customHeight="1">
      <c r="A6" s="56" t="n">
        <v>2</v>
      </c>
      <c r="B6" s="58" t="inlineStr">
        <is>
          <t>Singapore rate error (5%→17%) — model correction</t>
        </is>
      </c>
      <c r="C6" s="22" t="inlineStr">
        <is>
          <t>SG</t>
        </is>
      </c>
      <c r="D6" s="71" t="n">
        <v>0.45</v>
      </c>
      <c r="E6" s="22" t="inlineStr">
        <is>
          <t>High (&gt;90%)</t>
        </is>
      </c>
      <c r="F6" s="71" t="n">
        <v>0.45</v>
      </c>
      <c r="G6" s="80" t="inlineStr">
        <is>
          <t>High</t>
        </is>
      </c>
    </row>
    <row r="7" ht="30" customHeight="1">
      <c r="A7" s="56" t="n">
        <v>3</v>
      </c>
      <c r="B7" s="58" t="inlineStr">
        <is>
          <t>Swedish interest disallowance (standalone EBITDA)</t>
        </is>
      </c>
      <c r="C7" s="22" t="inlineStr">
        <is>
          <t>SE</t>
        </is>
      </c>
      <c r="D7" s="71" t="n">
        <v>0.1</v>
      </c>
      <c r="E7" s="22" t="inlineStr">
        <is>
          <t>High (&gt;90%)</t>
        </is>
      </c>
      <c r="F7" s="71" t="n">
        <v>0.1</v>
      </c>
      <c r="G7" s="80" t="inlineStr">
        <is>
          <t>High</t>
        </is>
      </c>
    </row>
    <row r="8" ht="30" customHeight="1">
      <c r="A8" s="56" t="n">
        <v>4</v>
      </c>
      <c r="B8" s="58" t="inlineStr">
        <is>
          <t>Nordenvik BV DEMPE substance challenge (IP reallocation)</t>
        </is>
      </c>
      <c r="C8" s="22" t="inlineStr">
        <is>
          <t>NL/DE/SG</t>
        </is>
      </c>
      <c r="D8" s="71" t="n">
        <v>2</v>
      </c>
      <c r="E8" s="22" t="inlineStr">
        <is>
          <t>Medium (30–40%)</t>
        </is>
      </c>
      <c r="F8" s="71" t="n">
        <v>0.8</v>
      </c>
      <c r="G8" s="80" t="inlineStr">
        <is>
          <t>High</t>
        </is>
      </c>
    </row>
    <row r="9" ht="30" customHeight="1">
      <c r="A9" s="56" t="n">
        <v>5</v>
      </c>
      <c r="B9" s="58" t="inlineStr">
        <is>
          <t>German Zinsschranke disallowance + GewSt add-back</t>
        </is>
      </c>
      <c r="C9" s="22" t="inlineStr">
        <is>
          <t>DE</t>
        </is>
      </c>
      <c r="D9" s="71" t="n">
        <v>0.35</v>
      </c>
      <c r="E9" s="22" t="inlineStr">
        <is>
          <t>High (&gt;90%)</t>
        </is>
      </c>
      <c r="F9" s="71" t="n">
        <v>0.35</v>
      </c>
      <c r="G9" s="72" t="inlineStr">
        <is>
          <t>Medium</t>
        </is>
      </c>
    </row>
    <row r="10" ht="30" customHeight="1">
      <c r="A10" s="56" t="n">
        <v>6</v>
      </c>
      <c r="B10" s="58" t="inlineStr">
        <is>
          <t>German tax audit FY19-21 contingent (under appeal)</t>
        </is>
      </c>
      <c r="C10" s="22" t="inlineStr">
        <is>
          <t>DE</t>
        </is>
      </c>
      <c r="D10" s="71" t="n">
        <v>2.4</v>
      </c>
      <c r="E10" s="22" t="inlineStr">
        <is>
          <t>Medium (50%)</t>
        </is>
      </c>
      <c r="F10" s="71" t="n">
        <v>1.2</v>
      </c>
      <c r="G10" s="80" t="inlineStr">
        <is>
          <t>High — RWI excluded</t>
        </is>
      </c>
    </row>
    <row r="11" ht="30" customHeight="1">
      <c r="A11" s="56" t="n">
        <v>7</v>
      </c>
      <c r="B11" s="58" t="inlineStr">
        <is>
          <t>DAC6 reporting obligation (analysis incomplete)</t>
        </is>
      </c>
      <c r="C11" s="22" t="inlineStr">
        <is>
          <t>LU/NL</t>
        </is>
      </c>
      <c r="E11" s="22" t="inlineStr">
        <is>
          <t>Medium</t>
        </is>
      </c>
      <c r="G11" s="72" t="inlineStr">
        <is>
          <t>Medium</t>
        </is>
      </c>
    </row>
    <row r="12" ht="30" customHeight="1">
      <c r="A12" s="56" t="n">
        <v>8</v>
      </c>
      <c r="B12" s="58" t="inlineStr">
        <is>
          <t>Step 5 merger §22 UmwStG 5-yr lock-up (exit &lt;2030)</t>
        </is>
      </c>
      <c r="C12" s="22" t="inlineStr">
        <is>
          <t>DE</t>
        </is>
      </c>
      <c r="D12" s="71" t="n">
        <v>30</v>
      </c>
      <c r="E12" s="22" t="inlineStr">
        <is>
          <t>Low (exit-timing)</t>
        </is>
      </c>
      <c r="F12" s="71" t="n">
        <v>3</v>
      </c>
      <c r="G12" s="80" t="inlineStr">
        <is>
          <t>High if early exit</t>
        </is>
      </c>
    </row>
    <row r="13" ht="30" customHeight="1">
      <c r="A13" s="56" t="n">
        <v>9</v>
      </c>
      <c r="B13" s="58" t="inlineStr">
        <is>
          <t>Irish IP migration — Dutch exit charge + SE CFC</t>
        </is>
      </c>
      <c r="C13" s="22" t="inlineStr">
        <is>
          <t>NL/SE/IE</t>
        </is>
      </c>
      <c r="D13" s="71" t="n">
        <v>3.35</v>
      </c>
      <c r="E13" s="22" t="inlineStr">
        <is>
          <t>Medium (if pursued)</t>
        </is>
      </c>
      <c r="F13" s="71" t="n">
        <v>1.7</v>
      </c>
      <c r="G13" s="72" t="inlineStr">
        <is>
          <t>Medium — Phase 2</t>
        </is>
      </c>
    </row>
    <row r="14" ht="15" customHeight="1">
      <c r="A14" s="56" t="n">
        <v>10</v>
      </c>
      <c r="B14" s="58" t="inlineStr">
        <is>
          <t>Pillar Two top-up (post €750M threshold)</t>
        </is>
      </c>
      <c r="C14" s="22" t="inlineStr">
        <is>
          <t>NL/LU/SG</t>
        </is>
      </c>
      <c r="D14" s="71" t="n">
        <v>1.21</v>
      </c>
      <c r="E14" s="22" t="inlineStr">
        <is>
          <t>Medium (timing)</t>
        </is>
      </c>
      <c r="F14" s="71" t="n">
        <v>0.6</v>
      </c>
      <c r="G14" s="80" t="inlineStr">
        <is>
          <t>High long-term</t>
        </is>
      </c>
    </row>
    <row r="15" ht="30" customHeight="1">
      <c r="A15" s="56" t="n">
        <v>11</v>
      </c>
      <c r="B15" s="58" t="inlineStr">
        <is>
          <t>PPT/substance challenge — BidCo (SE→NL dividends)</t>
        </is>
      </c>
      <c r="C15" s="22" t="inlineStr">
        <is>
          <t>NL/SE</t>
        </is>
      </c>
      <c r="E15" s="22" t="inlineStr">
        <is>
          <t>Low (10–15%)</t>
        </is>
      </c>
      <c r="F15" s="71" t="n">
        <v>0.2</v>
      </c>
      <c r="G15" s="72" t="inlineStr">
        <is>
          <t>Medium</t>
        </is>
      </c>
    </row>
    <row r="16" ht="15" customHeight="1">
      <c r="A16" s="56" t="n">
        <v>12</v>
      </c>
      <c r="B16" s="58" t="inlineStr">
        <is>
          <t>APA expired (Nordenvik BV royalty rates)</t>
        </is>
      </c>
      <c r="C16" s="22" t="inlineStr">
        <is>
          <t>NL</t>
        </is>
      </c>
      <c r="E16" s="22" t="inlineStr">
        <is>
          <t>Medium</t>
        </is>
      </c>
      <c r="G16" s="72" t="inlineStr">
        <is>
          <t>Medium</t>
        </is>
      </c>
    </row>
    <row r="17" ht="15" customHeight="1">
      <c r="A17" s="56" t="n">
        <v>13</v>
      </c>
      <c r="B17" s="58" t="inlineStr">
        <is>
          <t>TP documentation staleness (2018 study)</t>
        </is>
      </c>
      <c r="C17" s="22" t="inlineStr">
        <is>
          <t>Multi</t>
        </is>
      </c>
      <c r="E17" s="22" t="inlineStr">
        <is>
          <t>Medium</t>
        </is>
      </c>
      <c r="G17" s="72" t="inlineStr">
        <is>
          <t>Medium</t>
        </is>
      </c>
    </row>
    <row r="18" ht="30" customHeight="1">
      <c r="A18" s="56" t="n">
        <v>14</v>
      </c>
      <c r="B18" s="58" t="inlineStr">
        <is>
          <t>PE risk — Nordenvik BV personnel travel to DE/SE</t>
        </is>
      </c>
      <c r="C18" s="22" t="inlineStr">
        <is>
          <t>DE/SE</t>
        </is>
      </c>
      <c r="D18" s="71" t="n">
        <v>0.4</v>
      </c>
      <c r="E18" s="22" t="inlineStr">
        <is>
          <t>Low-Medium (20–25%)</t>
        </is>
      </c>
      <c r="F18" s="71" t="n">
        <v>0.1</v>
      </c>
      <c r="G18" s="81" t="inlineStr">
        <is>
          <t>Low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42" customWidth="1" min="3" max="3"/>
    <col width="14" customWidth="1" min="4" max="4"/>
    <col width="34" customWidth="1" min="5" max="5"/>
  </cols>
  <sheetData>
    <row r="1" ht="28" customHeight="1">
      <c r="A1" s="59" t="inlineStr">
        <is>
          <t>EVIDENCE GAPS &amp; SOURCE-DOCUMENT INCONSISTENCIES</t>
        </is>
      </c>
    </row>
    <row r="2" ht="18" customHeight="1">
      <c r="A2" s="60" t="inlineStr">
        <is>
          <t>Items requiring resolution before reliance. Each affects tax, structure, or model conclusions.</t>
        </is>
      </c>
    </row>
    <row r="3" ht="15" customHeight="1"/>
    <row r="4" ht="15" customHeight="1">
      <c r="A4" s="14" t="inlineStr">
        <is>
          <t>#</t>
        </is>
      </c>
      <c r="B4" s="83" t="inlineStr">
        <is>
          <t>Issue</t>
        </is>
      </c>
      <c r="C4" s="83" t="inlineStr">
        <is>
          <t>Inconsistency / gap</t>
        </is>
      </c>
      <c r="D4" s="14" t="inlineStr">
        <is>
          <t>Severity</t>
        </is>
      </c>
      <c r="E4" s="83" t="inlineStr">
        <is>
          <t>Resolution / source of truth</t>
        </is>
      </c>
    </row>
    <row r="5" ht="45" customHeight="1">
      <c r="A5" s="56" t="n">
        <v>1</v>
      </c>
      <c r="B5" s="84" t="inlineStr">
        <is>
          <t>Singapore tax rate</t>
        </is>
      </c>
      <c r="C5" s="48" t="inlineStr">
        <is>
          <t>Doc 4/5 model uses 5% Pioneer; Doc 10 opinion &amp; Doc 3 chart confirm Pioneer expired 31 Dec 2023 → 17% applies</t>
        </is>
      </c>
      <c r="D5" s="49" t="inlineStr">
        <is>
          <t>High</t>
        </is>
      </c>
      <c r="E5" s="48" t="inlineStr">
        <is>
          <t>Use 17% (Doc 10 + Doc 3). Re-underwrite IRR/MOIC.</t>
        </is>
      </c>
    </row>
    <row r="6" ht="60" customHeight="1">
      <c r="A6" s="56" t="n">
        <v>2</v>
      </c>
      <c r="B6" s="84" t="inlineStr">
        <is>
          <t>Swedish interest disallowance</t>
        </is>
      </c>
      <c r="C6" s="48" t="inlineStr">
        <is>
          <t>Doc 5 shows SEK 0 disallowance (consolidated EBITDA); Doc 7 opinion shows SEK 2–14M (standalone EBITDA). Doc 5 own structural note flags this.</t>
        </is>
      </c>
      <c r="D6" s="49" t="inlineStr">
        <is>
          <t>High</t>
        </is>
      </c>
      <c r="E6" s="48" t="inlineStr">
        <is>
          <t>Use standalone EBITDA (Doc 7). Model must be corrected.</t>
        </is>
      </c>
    </row>
    <row r="7" ht="30" customHeight="1">
      <c r="A7" s="56" t="n">
        <v>3</v>
      </c>
      <c r="B7" s="84" t="inlineStr">
        <is>
          <t>German Stille Reserven analysis</t>
        </is>
      </c>
      <c r="C7" s="48" t="inlineStr">
        <is>
          <t>Doc 8 §3.5: not performed; determines whether €24M losses (€3.8M) are preserved</t>
        </is>
      </c>
      <c r="D7" s="49" t="inlineStr">
        <is>
          <t>High</t>
        </is>
      </c>
      <c r="E7" s="48" t="inlineStr">
        <is>
          <t>Commission valuation from F&amp;S before SPA execution.</t>
        </is>
      </c>
    </row>
    <row r="8" ht="60" customHeight="1">
      <c r="A8" s="56" t="n">
        <v>4</v>
      </c>
      <c r="B8" s="84" t="inlineStr">
        <is>
          <t>Entity register — operating subsidiaries</t>
        </is>
      </c>
      <c r="C8" s="48" t="inlineStr">
        <is>
          <t>Doc 2 lists BV/Deutschland GmbH/Asia/UK Ltd; Doc 3 lists AB(OpCo)/Norway/Finland/IP AB/BV(dormant)/GmbH; Doc 5 lists US Inc/UK Ltd/GmbH/Pte Ltd</t>
        </is>
      </c>
      <c r="D8" s="49" t="inlineStr">
        <is>
          <t>High</t>
        </is>
      </c>
      <c r="E8" s="48" t="inlineStr">
        <is>
          <t>Reconcile legal entity register with Group Legal before closing.</t>
        </is>
      </c>
    </row>
    <row r="9" ht="30" customHeight="1">
      <c r="A9" s="56" t="n">
        <v>5</v>
      </c>
      <c r="B9" s="84" t="inlineStr">
        <is>
          <t>Sponsor/fund name</t>
        </is>
      </c>
      <c r="C9" s="48" t="inlineStr">
        <is>
          <t>Most docs: 'Meridian Capital Partners IV'; Doc 5 Appendix A: 'MonteCedro Partners Fund III'</t>
        </is>
      </c>
      <c r="D9" s="50" t="inlineStr">
        <is>
          <t>Medium</t>
        </is>
      </c>
      <c r="E9" s="48" t="inlineStr">
        <is>
          <t>Confirm acquiring fund identity (Doc 1 SPA).</t>
        </is>
      </c>
    </row>
    <row r="10" ht="30" customHeight="1">
      <c r="A10" s="56" t="n">
        <v>6</v>
      </c>
      <c r="B10" s="84" t="inlineStr">
        <is>
          <t>Nordenvik BV headcount</t>
        </is>
      </c>
      <c r="C10" s="48" t="inlineStr">
        <is>
          <t>Doc 9/EY DD: 4 employees; Doc 2 chart: 3.5 FTEs; Doc 5 DEMPE table: 8 FTEs</t>
        </is>
      </c>
      <c r="D10" s="50" t="inlineStr">
        <is>
          <t>Medium</t>
        </is>
      </c>
      <c r="E10" s="48" t="inlineStr">
        <is>
          <t>Confirm actual FTEs &amp; roles; drives substance remediation plan.</t>
        </is>
      </c>
    </row>
    <row r="11" ht="45" customHeight="1">
      <c r="A11" s="56" t="n">
        <v>7</v>
      </c>
      <c r="B11" s="84" t="inlineStr">
        <is>
          <t>Royalty rates</t>
        </is>
      </c>
      <c r="C11" s="48" t="inlineStr">
        <is>
          <t>Doc 2: 4.5%/5.0% (2018 study); Doc 5 §6.1: 5.5%/4.0%/5.0%/4.5%; Doc 5 App C: 6.0–8.5% range, 7.5% applied; Doc 24: 3.5–5.8% APA range</t>
        </is>
      </c>
      <c r="D11" s="49" t="inlineStr">
        <is>
          <t>High</t>
        </is>
      </c>
      <c r="E11" s="48" t="inlineStr">
        <is>
          <t>Adopt KPMG updated study (Doc 11) as single source; refresh benchmarks.</t>
        </is>
      </c>
    </row>
    <row r="12" ht="30" customHeight="1">
      <c r="A12" s="56" t="n">
        <v>8</v>
      </c>
      <c r="B12" s="84" t="inlineStr">
        <is>
          <t>Intercompany loan to Germany</t>
        </is>
      </c>
      <c r="C12" s="48" t="inlineStr">
        <is>
          <t>Doc 8: ~€52M; Doc 5 App B: €42M</t>
        </is>
      </c>
      <c r="D12" s="50" t="inlineStr">
        <is>
          <t>Medium</t>
        </is>
      </c>
      <c r="E12" s="48" t="inlineStr">
        <is>
          <t>Confirm outstanding principal from intercompany ledger.</t>
        </is>
      </c>
    </row>
    <row r="13" ht="30" customHeight="1">
      <c r="A13" s="56" t="n">
        <v>9</v>
      </c>
      <c r="B13" s="84" t="inlineStr">
        <is>
          <t>LTM EBITDA</t>
        </is>
      </c>
      <c r="C13" s="48" t="inlineStr">
        <is>
          <t>Doc 4/7/12: SEK 464M; Doc 5: SEK 478M</t>
        </is>
      </c>
      <c r="D13" s="51" t="inlineStr">
        <is>
          <t>Low</t>
        </is>
      </c>
      <c r="E13" s="48" t="inlineStr">
        <is>
          <t>Confirm LTM definition &amp; date; use consistent figure.</t>
        </is>
      </c>
    </row>
    <row r="14" ht="45" customHeight="1">
      <c r="A14" s="56" t="n">
        <v>10</v>
      </c>
      <c r="B14" s="84" t="inlineStr">
        <is>
          <t>DAC6 analysis</t>
        </is>
      </c>
      <c r="C14" s="48" t="inlineStr">
        <is>
          <t>Doc 23: incomplete — Hallmarks A/B dismissed; C commenced; D/E not done; no filing conclusion</t>
        </is>
      </c>
      <c r="D14" s="49" t="inlineStr">
        <is>
          <t>High</t>
        </is>
      </c>
      <c r="E14" s="48" t="inlineStr">
        <is>
          <t>Complete DAC6 analysis with LU &amp; NL counsel before closing.</t>
        </is>
      </c>
    </row>
    <row r="15" ht="30" customHeight="1">
      <c r="A15" s="56" t="n">
        <v>11</v>
      </c>
      <c r="B15" s="84" t="inlineStr">
        <is>
          <t>Irish IP migration exit charge / SE CFC</t>
        </is>
      </c>
      <c r="C15" s="48" t="inlineStr">
        <is>
          <t>Doc 24 Workstream 3: no Dutch exit-charge or Swedish CFC analysis included</t>
        </is>
      </c>
      <c r="D15" s="49" t="inlineStr">
        <is>
          <t>High (Phase 2)</t>
        </is>
      </c>
      <c r="E15" s="48" t="inlineStr">
        <is>
          <t>Commission Irish/Dutch/Swedish analysis before any IP migration.</t>
        </is>
      </c>
    </row>
    <row r="16" ht="30" customHeight="1">
      <c r="A16" s="56" t="n">
        <v>12</v>
      </c>
      <c r="B16" s="84" t="inlineStr">
        <is>
          <t>§22 UmwStG 5-yr lock-up</t>
        </is>
      </c>
      <c r="C16" s="48" t="inlineStr">
        <is>
          <t>Doc 24 Workstream 2: omits lock-up; potential €26–33M retroactive tax on early exit</t>
        </is>
      </c>
      <c r="D16" s="49" t="inlineStr">
        <is>
          <t>High</t>
        </is>
      </c>
      <c r="E16" s="48" t="inlineStr">
        <is>
          <t>Add lock-up to integration plan &amp; exit modeling.</t>
        </is>
      </c>
    </row>
    <row r="17" ht="30" customHeight="1">
      <c r="A17" s="56" t="n">
        <v>13</v>
      </c>
      <c r="B17" s="84" t="inlineStr">
        <is>
          <t>APA renewal status</t>
        </is>
      </c>
      <c r="C17" s="48" t="inlineStr">
        <is>
          <t>Doc 9: APA expired 31 Aug 2024; no renewal filed</t>
        </is>
      </c>
      <c r="D17" s="50" t="inlineStr">
        <is>
          <t>Medium</t>
        </is>
      </c>
      <c r="E17" s="48" t="inlineStr">
        <is>
          <t>File renewal by 30 Jun 2025 alongside fiscal unity.</t>
        </is>
      </c>
    </row>
    <row r="18" ht="30" customHeight="1">
      <c r="A18" s="56" t="n">
        <v>14</v>
      </c>
      <c r="B18" s="84" t="inlineStr">
        <is>
          <t>RWI treatment of known issues</t>
        </is>
      </c>
      <c r="C18" s="48" t="inlineStr">
        <is>
          <t>Doc 20 RWI binder: German audit €2.4M known-issue exclusion; confirm scope</t>
        </is>
      </c>
      <c r="D18" s="50" t="inlineStr">
        <is>
          <t>Medium</t>
        </is>
      </c>
      <c r="E18" s="48" t="inlineStr">
        <is>
          <t>Negotiate specific indemnity/escrow for €2.4M audit exposure.</t>
        </is>
      </c>
    </row>
    <row r="19" ht="30" customHeight="1">
      <c r="A19" s="56" t="n">
        <v>15</v>
      </c>
      <c r="B19" s="84" t="inlineStr">
        <is>
          <t>German real property confirmation</t>
        </is>
      </c>
      <c r="C19" s="48" t="inlineStr">
        <is>
          <t>Doc 8 §9: GrESt analysis assumes no German real property — not yet Grundbuch-confirmed</t>
        </is>
      </c>
      <c r="D19" s="50" t="inlineStr">
        <is>
          <t>Medium</t>
        </is>
      </c>
      <c r="E19" s="48" t="inlineStr">
        <is>
          <t>Grundbuch search; SPA rep on no German real property.</t>
        </is>
      </c>
    </row>
    <row r="20" ht="30" customHeight="1">
      <c r="A20" s="56" t="n">
        <v>16</v>
      </c>
      <c r="B20" s="84" t="inlineStr">
        <is>
          <t>Beneficial ownership / PPT substance</t>
        </is>
      </c>
      <c r="C20" s="48" t="inlineStr">
        <is>
          <t>All treaty benefits assume BO + substance + PPT; BidCo &amp; BV substance to be built</t>
        </is>
      </c>
      <c r="D20" s="49" t="inlineStr">
        <is>
          <t>High</t>
        </is>
      </c>
      <c r="E20" s="48" t="inlineStr">
        <is>
          <t>Substance build-out pre/post-closing; document decision-making.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2026-08-24T21:43:02Z</dcterms:created>
  <dcterms:modified xmlns:dcterms="http://purl.org/dc/terms/" xmlns:xsi="http://www.w3.org/2001/XMLSchema-instance" xsi:type="dcterms:W3CDTF">2026-08-25T01:11:01Z</dcterms:modified>
</cp:coreProperties>
</file>