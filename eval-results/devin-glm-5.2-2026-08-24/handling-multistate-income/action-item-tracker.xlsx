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 Items" sheetId="2" state="visible" r:id="rId2"/>
    <sheet xmlns:r="http://schemas.openxmlformats.org/officeDocument/2006/relationships" name="Pre-Closing Checklist" sheetId="3" state="visible" r:id="rId3"/>
  </sheets>
  <definedNames>
    <definedName name="_xlnm._FilterDatabase" localSheetId="1" hidden="1">'Action Items'!$A$4:$J$46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FFFFFF"/>
      <sz val="10"/>
    </font>
    <font>
      <name val="Calibri"/>
      <b val="1"/>
      <color rgb="001F3864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color rgb="00595959"/>
      <sz val="9"/>
    </font>
    <font>
      <name val="Calibri"/>
      <i val="1"/>
      <color rgb="00595959"/>
      <sz val="9"/>
    </font>
    <font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D9D9D9"/>
      </patternFill>
    </fill>
    <fill>
      <patternFill patternType="solid">
        <fgColor rgb="00D6E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8" borderId="0" pivotButton="0" quotePrefix="0" xfId="0"/>
    <xf numFmtId="0" fontId="4" fillId="8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8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0" customWidth="1" min="3" max="3"/>
    <col width="10" customWidth="1" min="4" max="4"/>
    <col width="10" customWidth="1" min="5" max="5"/>
    <col width="12" customWidth="1" min="6" max="6"/>
    <col width="30" customWidth="1" min="7" max="7"/>
    <col width="14" customWidth="1" min="8" max="8"/>
    <col width="30" customWidth="1" min="9" max="9"/>
  </cols>
  <sheetData>
    <row r="1" ht="26" customHeight="1">
      <c r="A1" s="20" t="inlineStr">
        <is>
          <t>ACTION ITEM TRACKER</t>
        </is>
      </c>
    </row>
    <row r="2" ht="16" customHeight="1">
      <c r="A2" s="21" t="inlineStr">
        <is>
          <t>Project Nordenvik — Cross-Border Acquisition | Tax structure workstream | Owner: Hargrove &amp; Lund LLP (lead: N. Osei-Mensah)</t>
        </is>
      </c>
    </row>
    <row r="3" ht="15" customHeight="1"/>
    <row r="4" ht="15" customHeight="1">
      <c r="B4" s="22" t="inlineStr">
        <is>
          <t>Status legend</t>
        </is>
      </c>
    </row>
    <row r="5" ht="45" customHeight="1">
      <c r="B5" s="4" t="inlineStr">
        <is>
          <t>Open</t>
        </is>
      </c>
      <c r="C5" s="23" t="inlineStr">
        <is>
          <t>Not started / in progress</t>
        </is>
      </c>
    </row>
    <row r="6" ht="60" customHeight="1">
      <c r="B6" s="6" t="inlineStr">
        <is>
          <t>Critical</t>
        </is>
      </c>
      <c r="C6" s="23" t="inlineStr">
        <is>
          <t>Blocking; pre-closing or high-value</t>
        </is>
      </c>
    </row>
    <row r="7" ht="15" customHeight="1">
      <c r="B7" s="7" t="inlineStr">
        <is>
          <t>Complete</t>
        </is>
      </c>
      <c r="C7" s="23" t="inlineStr">
        <is>
          <t>Done</t>
        </is>
      </c>
    </row>
    <row r="8" ht="45" customHeight="1">
      <c r="B8" s="8" t="inlineStr">
        <is>
          <t>Deferred</t>
        </is>
      </c>
      <c r="C8" s="23" t="inlineStr">
        <is>
          <t>Phase 2 / post-close Year 2+</t>
        </is>
      </c>
    </row>
    <row r="9" ht="15" customHeight="1"/>
    <row r="10" ht="15" customHeight="1">
      <c r="B10" s="22" t="inlineStr">
        <is>
          <t>Workstream summary</t>
        </is>
      </c>
    </row>
    <row r="11" ht="15" customHeight="1">
      <c r="B11" s="9" t="inlineStr">
        <is>
          <t>Workstream</t>
        </is>
      </c>
      <c r="C11" s="9" t="inlineStr">
        <is>
          <t>Items</t>
        </is>
      </c>
      <c r="D11" s="9" t="inlineStr">
        <is>
          <t>Critical</t>
        </is>
      </c>
      <c r="E11" s="9" t="inlineStr">
        <is>
          <t>Open</t>
        </is>
      </c>
      <c r="F11" s="9" t="inlineStr">
        <is>
          <t>Deferred</t>
        </is>
      </c>
      <c r="G11" s="9" t="inlineStr">
        <is>
          <t>Owner</t>
        </is>
      </c>
    </row>
    <row r="12" ht="30" customHeight="1">
      <c r="B12" s="23" t="inlineStr">
        <is>
          <t>Pre-closing structuring &amp; model</t>
        </is>
      </c>
      <c r="C12" s="10" t="n">
        <v>8</v>
      </c>
      <c r="D12" s="10" t="n">
        <v>5</v>
      </c>
      <c r="E12" s="10" t="n">
        <v>3</v>
      </c>
      <c r="F12" s="10" t="n">
        <v>0</v>
      </c>
      <c r="G12" s="24" t="inlineStr">
        <is>
          <t>Osei-Mensah / Hargrove-Szymanski</t>
        </is>
      </c>
    </row>
    <row r="13" ht="30" customHeight="1">
      <c r="B13" s="23" t="inlineStr">
        <is>
          <t>German §8c &amp; merger (Step 5)</t>
        </is>
      </c>
      <c r="C13" s="10" t="n">
        <v>6</v>
      </c>
      <c r="D13" s="10" t="n">
        <v>3</v>
      </c>
      <c r="E13" s="10" t="n">
        <v>3</v>
      </c>
      <c r="F13" s="10" t="n">
        <v>0</v>
      </c>
      <c r="G13" s="24" t="inlineStr">
        <is>
          <t>Flossbach &amp; Steinberg / Subramaniam</t>
        </is>
      </c>
    </row>
    <row r="14" ht="30" customHeight="1">
      <c r="B14" s="23" t="inlineStr">
        <is>
          <t>Dutch fiscal unity &amp; BV substance</t>
        </is>
      </c>
      <c r="C14" s="10" t="n">
        <v>7</v>
      </c>
      <c r="D14" s="10" t="n">
        <v>3</v>
      </c>
      <c r="E14" s="10" t="n">
        <v>4</v>
      </c>
      <c r="F14" s="10" t="n">
        <v>0</v>
      </c>
      <c r="G14" s="24" t="inlineStr">
        <is>
          <t>Van Steenbergen / van der Hoeven</t>
        </is>
      </c>
    </row>
    <row r="15" ht="15" customHeight="1">
      <c r="B15" s="23" t="inlineStr">
        <is>
          <t>Singapore incentive</t>
        </is>
      </c>
      <c r="C15" s="10" t="n">
        <v>4</v>
      </c>
      <c r="D15" s="10" t="n">
        <v>1</v>
      </c>
      <c r="E15" s="10" t="n">
        <v>2</v>
      </c>
      <c r="F15" s="10" t="n">
        <v>1</v>
      </c>
      <c r="G15" s="24" t="inlineStr">
        <is>
          <t>Rajah &amp; Tann / Group Tax</t>
        </is>
      </c>
    </row>
    <row r="16" ht="15" customHeight="1">
      <c r="B16" s="23" t="inlineStr">
        <is>
          <t>Transfer pricing</t>
        </is>
      </c>
      <c r="C16" s="10" t="n">
        <v>5</v>
      </c>
      <c r="D16" s="10" t="n">
        <v>1</v>
      </c>
      <c r="E16" s="10" t="n">
        <v>3</v>
      </c>
      <c r="F16" s="10" t="n">
        <v>1</v>
      </c>
      <c r="G16" s="24" t="inlineStr">
        <is>
          <t>KPMG / Group Tax</t>
        </is>
      </c>
    </row>
    <row r="17" ht="15" customHeight="1">
      <c r="B17" s="23" t="inlineStr">
        <is>
          <t>RWI / SPA / indemnities</t>
        </is>
      </c>
      <c r="C17" s="10" t="n">
        <v>4</v>
      </c>
      <c r="D17" s="10" t="n">
        <v>2</v>
      </c>
      <c r="E17" s="10" t="n">
        <v>2</v>
      </c>
      <c r="F17" s="10" t="n">
        <v>0</v>
      </c>
      <c r="G17" s="24" t="inlineStr">
        <is>
          <t>Hargrove &amp; Lund / Deal team</t>
        </is>
      </c>
    </row>
    <row r="18" ht="15" customHeight="1">
      <c r="B18" s="23" t="inlineStr">
        <is>
          <t>DAC6 &amp; reporting</t>
        </is>
      </c>
      <c r="C18" s="10" t="n">
        <v>3</v>
      </c>
      <c r="D18" s="10" t="n">
        <v>1</v>
      </c>
      <c r="E18" s="10" t="n">
        <v>2</v>
      </c>
      <c r="F18" s="10" t="n">
        <v>0</v>
      </c>
      <c r="G18" s="24" t="inlineStr">
        <is>
          <t>Hargrove &amp; Lund / LU &amp; NL counsel</t>
        </is>
      </c>
    </row>
    <row r="19" ht="30" customHeight="1">
      <c r="B19" s="23" t="inlineStr">
        <is>
          <t>Phase 2 (Irish IP / Pillar Two)</t>
        </is>
      </c>
      <c r="C19" s="10" t="n">
        <v>5</v>
      </c>
      <c r="D19" s="10" t="n">
        <v>0</v>
      </c>
      <c r="E19" s="10" t="n">
        <v>0</v>
      </c>
      <c r="F19" s="10" t="n">
        <v>5</v>
      </c>
      <c r="G19" s="24" t="inlineStr">
        <is>
          <t>Hargrove-Szymanski / Advisors</t>
        </is>
      </c>
    </row>
    <row r="20" ht="30" customHeight="1">
      <c r="B20" s="25" t="inlineStr">
        <is>
          <t>TOTAL</t>
        </is>
      </c>
      <c r="C20" s="13">
        <f>SUM(C12:C19)</f>
        <v/>
      </c>
      <c r="D20" s="13">
        <f>SUM(D12:D19)</f>
        <v/>
      </c>
      <c r="E20" s="13">
        <f>SUM(E12:E19)</f>
        <v/>
      </c>
      <c r="F20" s="13">
        <f>SUM(F12:F19)</f>
        <v/>
      </c>
    </row>
    <row r="21" ht="15" customHeight="1"/>
    <row r="22" ht="105" customHeight="1">
      <c r="B22" s="26" t="inlineStr">
        <is>
          <t>See 'Action Items' tab for the full register with owners, deadlines, dependencies, and source references. Items are keyed A-001 etc. and mapped to the Tax Structure Memorandum and Tax Cost Model.</t>
        </is>
      </c>
    </row>
  </sheetData>
  <mergeCells count="7">
    <mergeCell ref="A2:I2"/>
    <mergeCell ref="C8:I8"/>
    <mergeCell ref="A1:I1"/>
    <mergeCell ref="B22:I22"/>
    <mergeCell ref="C6:I6"/>
    <mergeCell ref="C7:I7"/>
    <mergeCell ref="C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2" customWidth="1" min="3" max="3"/>
    <col width="22" customWidth="1" min="4" max="4"/>
    <col width="18" customWidth="1" min="5" max="5"/>
    <col width="12" customWidth="1" min="6" max="6"/>
    <col width="10" customWidth="1" min="7" max="7"/>
    <col width="8" customWidth="1" min="8" max="8"/>
    <col width="12" customWidth="1" min="9" max="9"/>
    <col width="26" customWidth="1" min="10" max="10"/>
    <col width="3" customWidth="1" min="11" max="11"/>
  </cols>
  <sheetData>
    <row r="1" ht="26" customHeight="1">
      <c r="A1" s="20" t="inlineStr">
        <is>
          <t>ACTION ITEMS — DETAILED REGISTER</t>
        </is>
      </c>
    </row>
    <row r="2" ht="16" customHeight="1">
      <c r="A2" s="21" t="inlineStr">
        <is>
          <t>Pre-closing (P), At/Post-closing (C), Phase 2 (P2). Status: Open / Critical / Complete / Deferred. Sorted by priority then deadline.</t>
        </is>
      </c>
    </row>
    <row r="3" ht="20" customHeight="1"/>
    <row r="4" ht="20" customHeight="1">
      <c r="A4" s="9" t="inlineStr">
        <is>
          <t>#</t>
        </is>
      </c>
      <c r="B4" s="9" t="inlineStr">
        <is>
          <t>Workstream</t>
        </is>
      </c>
      <c r="C4" s="27" t="inlineStr">
        <is>
          <t>Action item</t>
        </is>
      </c>
      <c r="D4" s="27" t="inlineStr">
        <is>
          <t>Owner</t>
        </is>
      </c>
      <c r="E4" s="27" t="inlineStr">
        <is>
          <t>Deadline</t>
        </is>
      </c>
      <c r="F4" s="9" t="inlineStr">
        <is>
          <t>Status</t>
        </is>
      </c>
      <c r="G4" s="9" t="inlineStr">
        <is>
          <t>Priority</t>
        </is>
      </c>
      <c r="H4" s="9" t="inlineStr">
        <is>
          <t>Phase</t>
        </is>
      </c>
      <c r="I4" s="9" t="inlineStr">
        <is>
          <t>Dependency</t>
        </is>
      </c>
      <c r="J4" s="27" t="inlineStr">
        <is>
          <t>Source ref</t>
        </is>
      </c>
      <c r="K4" s="9" t="n"/>
    </row>
    <row r="5" ht="30" customHeight="1">
      <c r="A5" s="15" t="inlineStr">
        <is>
          <t>A-001</t>
        </is>
      </c>
      <c r="B5" s="24" t="inlineStr">
        <is>
          <t>Pre-close structuring</t>
        </is>
      </c>
      <c r="C5" s="16" t="inlineStr">
        <is>
          <t>Correct financial model: Singapore 5%→17% (Pioneer expired 31 Dec 2023); re-underwrite IRR/MOIC and ETR</t>
        </is>
      </c>
      <c r="D5" s="17" t="inlineStr">
        <is>
          <t>V. Hargrove-Szymanski / Deal Analytics</t>
        </is>
      </c>
      <c r="E5" s="28" t="inlineStr">
        <is>
          <t>Pre-SPA signing</t>
        </is>
      </c>
      <c r="F5" s="6" t="inlineStr">
        <is>
          <t>Critical</t>
        </is>
      </c>
      <c r="G5" s="6" t="inlineStr">
        <is>
          <t>High</t>
        </is>
      </c>
      <c r="H5" s="4" t="inlineStr">
        <is>
          <t>P</t>
        </is>
      </c>
      <c r="I5" s="18" t="inlineStr">
        <is>
          <t>A-002</t>
        </is>
      </c>
      <c r="J5" s="17" t="inlineStr">
        <is>
          <t>Doc 4/5; Doc 10; Doc 3</t>
        </is>
      </c>
    </row>
    <row r="6" ht="45" customHeight="1">
      <c r="A6" s="15" t="inlineStr">
        <is>
          <t>A-002</t>
        </is>
      </c>
      <c r="B6" s="24" t="inlineStr">
        <is>
          <t>Pre-close structuring</t>
        </is>
      </c>
      <c r="C6" s="16" t="inlineStr">
        <is>
          <t>Correct financial model: Swedish interest disallowance using standalone EBITDA (SEK 380–420M) not consolidated; model SEK 2–14M/yr disallowance</t>
        </is>
      </c>
      <c r="D6" s="17" t="inlineStr">
        <is>
          <t>V. Hargrove-Szymanski / Deal Analytics</t>
        </is>
      </c>
      <c r="E6" s="28" t="inlineStr">
        <is>
          <t>Pre-SPA signing</t>
        </is>
      </c>
      <c r="F6" s="6" t="inlineStr">
        <is>
          <t>Critical</t>
        </is>
      </c>
      <c r="G6" s="6" t="inlineStr">
        <is>
          <t>High</t>
        </is>
      </c>
      <c r="H6" s="4" t="inlineStr">
        <is>
          <t>P</t>
        </is>
      </c>
      <c r="I6" s="18" t="inlineStr">
        <is>
          <t>A-001</t>
        </is>
      </c>
      <c r="J6" s="17" t="inlineStr">
        <is>
          <t>Doc 7 §4.6; Doc 5 structural note</t>
        </is>
      </c>
    </row>
    <row r="7" ht="45" customHeight="1">
      <c r="A7" s="15" t="inlineStr">
        <is>
          <t>A-003</t>
        </is>
      </c>
      <c r="B7" s="24" t="inlineStr">
        <is>
          <t>Pre-close structuring</t>
        </is>
      </c>
      <c r="C7" s="16" t="inlineStr">
        <is>
          <t>Decide debt placement: adopt Option A (retain €155M at BidCo NL; offset vs BV royalty via fiscal unity) per Doc 7 §4.7</t>
        </is>
      </c>
      <c r="D7" s="17" t="inlineStr">
        <is>
          <t>Osei-Mensah / Hargrove-Szymanski</t>
        </is>
      </c>
      <c r="E7" s="28" t="inlineStr">
        <is>
          <t>Pre-closing</t>
        </is>
      </c>
      <c r="F7" s="6" t="inlineStr">
        <is>
          <t>Critical</t>
        </is>
      </c>
      <c r="G7" s="6" t="inlineStr">
        <is>
          <t>High</t>
        </is>
      </c>
      <c r="H7" s="4" t="inlineStr">
        <is>
          <t>P</t>
        </is>
      </c>
      <c r="I7" s="18" t="inlineStr">
        <is>
          <t>A-101; A-201</t>
        </is>
      </c>
      <c r="J7" s="17" t="inlineStr">
        <is>
          <t>Doc 7; Debt Sourcing tab</t>
        </is>
      </c>
    </row>
    <row r="8" ht="45" customHeight="1">
      <c r="A8" s="15" t="inlineStr">
        <is>
          <t>A-004</t>
        </is>
      </c>
      <c r="B8" s="24" t="inlineStr">
        <is>
          <t>Pre-close structuring</t>
        </is>
      </c>
      <c r="C8" s="16" t="inlineStr">
        <is>
          <t>If partial SE pushdown required, cap SE intercompany interest at ~SEK 100–110M to preserve standalone-EBITDA headroom</t>
        </is>
      </c>
      <c r="D8" s="17" t="inlineStr">
        <is>
          <t>Osei-Mensah / van der Hoeven</t>
        </is>
      </c>
      <c r="E8" s="28" t="inlineStr">
        <is>
          <t>Pre-closing</t>
        </is>
      </c>
      <c r="F8" s="4" t="inlineStr">
        <is>
          <t>Open</t>
        </is>
      </c>
      <c r="G8" s="6" t="inlineStr">
        <is>
          <t>High</t>
        </is>
      </c>
      <c r="H8" s="4" t="inlineStr">
        <is>
          <t>P</t>
        </is>
      </c>
      <c r="I8" s="18" t="inlineStr">
        <is>
          <t>A-003</t>
        </is>
      </c>
      <c r="J8" s="17" t="inlineStr">
        <is>
          <t>Doc 7 §4.7.2</t>
        </is>
      </c>
    </row>
    <row r="9" ht="45" customHeight="1">
      <c r="A9" s="15" t="inlineStr">
        <is>
          <t>A-005</t>
        </is>
      </c>
      <c r="B9" s="24" t="inlineStr">
        <is>
          <t>Pre-close structuring</t>
        </is>
      </c>
      <c r="C9" s="16" t="inlineStr">
        <is>
          <t>Confirm acquiring fund identity (Meridian IV vs 'MonteCedro Partners Fund III' per Doc 5 App A) — reconcile SPA parties</t>
        </is>
      </c>
      <c r="D9" s="17" t="inlineStr">
        <is>
          <t>Osei-Mensah / Deal team</t>
        </is>
      </c>
      <c r="E9" s="28" t="inlineStr">
        <is>
          <t>Pre-SPA execution</t>
        </is>
      </c>
      <c r="F9" s="6" t="inlineStr">
        <is>
          <t>Critical</t>
        </is>
      </c>
      <c r="G9" s="6" t="inlineStr">
        <is>
          <t>High</t>
        </is>
      </c>
      <c r="H9" s="4" t="inlineStr">
        <is>
          <t>P</t>
        </is>
      </c>
      <c r="I9" s="18" t="inlineStr">
        <is>
          <t>-</t>
        </is>
      </c>
      <c r="J9" s="17" t="inlineStr">
        <is>
          <t>Doc 1; Doc 5 App A</t>
        </is>
      </c>
    </row>
    <row r="10" ht="45" customHeight="1">
      <c r="A10" s="15" t="inlineStr">
        <is>
          <t>A-006</t>
        </is>
      </c>
      <c r="B10" s="24" t="inlineStr">
        <is>
          <t>Pre-close structuring</t>
        </is>
      </c>
      <c r="C10" s="16" t="inlineStr">
        <is>
          <t>Reconcile legal entity register across Doc 2/3/5 with Group Legal (operating subs: DE/SG/UK/Norway/Finland/IP AB/US)</t>
        </is>
      </c>
      <c r="D10" s="17" t="inlineStr">
        <is>
          <t>Subramaniam / Group Legal</t>
        </is>
      </c>
      <c r="E10" s="28" t="inlineStr">
        <is>
          <t>Pre-closing</t>
        </is>
      </c>
      <c r="F10" s="4" t="inlineStr">
        <is>
          <t>Open</t>
        </is>
      </c>
      <c r="G10" s="6" t="inlineStr">
        <is>
          <t>High</t>
        </is>
      </c>
      <c r="H10" s="4" t="inlineStr">
        <is>
          <t>P</t>
        </is>
      </c>
      <c r="I10" s="18" t="inlineStr">
        <is>
          <t>-</t>
        </is>
      </c>
      <c r="J10" s="17" t="inlineStr">
        <is>
          <t>Doc 2; Doc 3; Doc 5</t>
        </is>
      </c>
    </row>
    <row r="11" ht="30" customHeight="1">
      <c r="A11" s="15" t="inlineStr">
        <is>
          <t>A-007</t>
        </is>
      </c>
      <c r="B11" s="24" t="inlineStr">
        <is>
          <t>Pre-close structuring</t>
        </is>
      </c>
      <c r="C11" s="16" t="inlineStr">
        <is>
          <t>Confirm Nordenvik BV actual headcount &amp; roles (4 vs 3.5 vs 8 FTE across docs) — drives substance remediation</t>
        </is>
      </c>
      <c r="D11" s="17" t="inlineStr">
        <is>
          <t>van der Hoeven / Group HR</t>
        </is>
      </c>
      <c r="E11" s="28" t="inlineStr">
        <is>
          <t>Pre-closing</t>
        </is>
      </c>
      <c r="F11" s="4" t="inlineStr">
        <is>
          <t>Open</t>
        </is>
      </c>
      <c r="G11" s="4" t="inlineStr">
        <is>
          <t>Medium</t>
        </is>
      </c>
      <c r="H11" s="4" t="inlineStr">
        <is>
          <t>P</t>
        </is>
      </c>
      <c r="I11" s="18" t="inlineStr">
        <is>
          <t>A-202</t>
        </is>
      </c>
      <c r="J11" s="17" t="inlineStr">
        <is>
          <t>Doc 9; Doc 2; Doc 5</t>
        </is>
      </c>
    </row>
    <row r="12" ht="30" customHeight="1">
      <c r="A12" s="15" t="inlineStr">
        <is>
          <t>A-008</t>
        </is>
      </c>
      <c r="B12" s="24" t="inlineStr">
        <is>
          <t>Pre-close structuring</t>
        </is>
      </c>
      <c r="C12" s="16" t="inlineStr">
        <is>
          <t>Confirm LTM EBITDA definition (SEK 464M vs 478M) and intercompany loan principal to Germany (€52M vs €42M)</t>
        </is>
      </c>
      <c r="D12" s="17" t="inlineStr">
        <is>
          <t>Deal Analytics / CFO Malmberg</t>
        </is>
      </c>
      <c r="E12" s="28" t="inlineStr">
        <is>
          <t>Pre-closing</t>
        </is>
      </c>
      <c r="F12" s="4" t="inlineStr">
        <is>
          <t>Open</t>
        </is>
      </c>
      <c r="G12" s="4" t="inlineStr">
        <is>
          <t>Medium</t>
        </is>
      </c>
      <c r="H12" s="4" t="inlineStr">
        <is>
          <t>P</t>
        </is>
      </c>
      <c r="I12" s="18" t="inlineStr">
        <is>
          <t>-</t>
        </is>
      </c>
      <c r="J12" s="17" t="inlineStr">
        <is>
          <t>Doc 4/5/7/8</t>
        </is>
      </c>
    </row>
    <row r="13" ht="45" customHeight="1">
      <c r="A13" s="15" t="inlineStr">
        <is>
          <t>A-101</t>
        </is>
      </c>
      <c r="B13" s="24" t="inlineStr">
        <is>
          <t>German §8c / merger</t>
        </is>
      </c>
      <c r="C13" s="16" t="inlineStr">
        <is>
          <t>Commission Stille Reserven (hidden reserves) valuation of Nordenvik Deutschland GmbH domestic assets — determines preservation of €24M losses (€3.8M)</t>
        </is>
      </c>
      <c r="D13" s="17" t="inlineStr">
        <is>
          <t>Flossbach &amp; Steinberg (F&amp;S)</t>
        </is>
      </c>
      <c r="E13" s="28" t="inlineStr">
        <is>
          <t>By 15 May 2025 (pre-SPA ideal)</t>
        </is>
      </c>
      <c r="F13" s="6" t="inlineStr">
        <is>
          <t>Critical</t>
        </is>
      </c>
      <c r="G13" s="6" t="inlineStr">
        <is>
          <t>High</t>
        </is>
      </c>
      <c r="H13" s="4" t="inlineStr">
        <is>
          <t>P</t>
        </is>
      </c>
      <c r="I13" s="18" t="inlineStr">
        <is>
          <t>-</t>
        </is>
      </c>
      <c r="J13" s="17" t="inlineStr">
        <is>
          <t>Doc 8 §3.5; EY Priority 1</t>
        </is>
      </c>
    </row>
    <row r="14" ht="30" customHeight="1">
      <c r="A14" s="15" t="inlineStr">
        <is>
          <t>A-102</t>
        </is>
      </c>
      <c r="B14" s="24" t="inlineStr">
        <is>
          <t>German §8c / merger</t>
        </is>
      </c>
      <c r="C14" s="16" t="inlineStr">
        <is>
          <t>Negotiate SPA Tax Deed mechanism (escrow/indemnity/PPA) for §8c loss exposure pending Stille Reserven outcome</t>
        </is>
      </c>
      <c r="D14" s="17" t="inlineStr">
        <is>
          <t>Hargrove &amp; Lund / Deal team</t>
        </is>
      </c>
      <c r="E14" s="28" t="inlineStr">
        <is>
          <t>Pre-SPA execution</t>
        </is>
      </c>
      <c r="F14" s="6" t="inlineStr">
        <is>
          <t>Critical</t>
        </is>
      </c>
      <c r="G14" s="6" t="inlineStr">
        <is>
          <t>High</t>
        </is>
      </c>
      <c r="H14" s="4" t="inlineStr">
        <is>
          <t>P</t>
        </is>
      </c>
      <c r="I14" s="18" t="inlineStr">
        <is>
          <t>A-101</t>
        </is>
      </c>
      <c r="J14" s="17" t="inlineStr">
        <is>
          <t>Doc 1 Sch.7; Doc 8 §3.5</t>
        </is>
      </c>
    </row>
    <row r="15" ht="30" customHeight="1">
      <c r="A15" s="15" t="inlineStr">
        <is>
          <t>A-103</t>
        </is>
      </c>
      <c r="B15" s="24" t="inlineStr">
        <is>
          <t>German §8c / merger</t>
        </is>
      </c>
      <c r="C15" s="16" t="inlineStr">
        <is>
          <t>Consider binding ruling (verbindliche Auskunft) on §8c(1) Satz 6 — note 4–6 month Munich processing time</t>
        </is>
      </c>
      <c r="D15" s="17" t="inlineStr">
        <is>
          <t>F&amp;S</t>
        </is>
      </c>
      <c r="E15" s="28" t="inlineStr">
        <is>
          <t>Pre-closing</t>
        </is>
      </c>
      <c r="F15" s="4" t="inlineStr">
        <is>
          <t>Open</t>
        </is>
      </c>
      <c r="G15" s="4" t="inlineStr">
        <is>
          <t>Medium</t>
        </is>
      </c>
      <c r="H15" s="4" t="inlineStr">
        <is>
          <t>P</t>
        </is>
      </c>
      <c r="I15" s="18" t="inlineStr">
        <is>
          <t>A-101</t>
        </is>
      </c>
      <c r="J15" s="17" t="inlineStr">
        <is>
          <t>Doc 8 §3.5</t>
        </is>
      </c>
    </row>
    <row r="16" ht="45" customHeight="1">
      <c r="A16" s="15" t="inlineStr">
        <is>
          <t>A-104</t>
        </is>
      </c>
      <c r="B16" s="24" t="inlineStr">
        <is>
          <t>German §8c / merger</t>
        </is>
      </c>
      <c r="C16" s="16" t="inlineStr">
        <is>
          <t>Model §22 UmwStG 5-year lock-up impact on exit timing; add 'early exit &lt;2030' toggle to financial model (potential €26–33M retroactive tax)</t>
        </is>
      </c>
      <c r="D16" s="17" t="inlineStr">
        <is>
          <t>Osei-Mensah / Subramaniam</t>
        </is>
      </c>
      <c r="E16" s="28" t="inlineStr">
        <is>
          <t>31 May 2025</t>
        </is>
      </c>
      <c r="F16" s="6" t="inlineStr">
        <is>
          <t>Critical</t>
        </is>
      </c>
      <c r="G16" s="6" t="inlineStr">
        <is>
          <t>High</t>
        </is>
      </c>
      <c r="H16" s="13" t="inlineStr">
        <is>
          <t>C</t>
        </is>
      </c>
      <c r="I16" s="18" t="inlineStr">
        <is>
          <t>A-105</t>
        </is>
      </c>
      <c r="J16" s="17" t="inlineStr">
        <is>
          <t>Doc 24 §4.4 (gap)</t>
        </is>
      </c>
    </row>
    <row r="17" ht="30" customHeight="1">
      <c r="A17" s="15" t="inlineStr">
        <is>
          <t>A-105</t>
        </is>
      </c>
      <c r="B17" s="24" t="inlineStr">
        <is>
          <t>German §8c / merger</t>
        </is>
      </c>
      <c r="C17" s="16" t="inlineStr">
        <is>
          <t>Amend integration plan to flag §22 UmwStG lock-up; calendar expiration vs 5-yr hold; brief IC</t>
        </is>
      </c>
      <c r="D17" s="17" t="inlineStr">
        <is>
          <t>Subramaniam / Osei-Mensah</t>
        </is>
      </c>
      <c r="E17" s="28" t="inlineStr">
        <is>
          <t>31 May 2025</t>
        </is>
      </c>
      <c r="F17" s="4" t="inlineStr">
        <is>
          <t>Open</t>
        </is>
      </c>
      <c r="G17" s="6" t="inlineStr">
        <is>
          <t>High</t>
        </is>
      </c>
      <c r="H17" s="13" t="inlineStr">
        <is>
          <t>C</t>
        </is>
      </c>
      <c r="I17" s="18" t="inlineStr">
        <is>
          <t>A-104</t>
        </is>
      </c>
      <c r="J17" s="17" t="inlineStr">
        <is>
          <t>Doc 24 §4.4</t>
        </is>
      </c>
    </row>
    <row r="18" ht="30" customHeight="1">
      <c r="A18" s="15" t="inlineStr">
        <is>
          <t>A-106</t>
        </is>
      </c>
      <c r="B18" s="24" t="inlineStr">
        <is>
          <t>German §8c / merger</t>
        </is>
      </c>
      <c r="C18" s="16" t="inlineStr">
        <is>
          <t>Do NOT file §8d KStG election — Step 5 merger triggers forfeiture (§8d(2) Satz 2 Nr.4)</t>
        </is>
      </c>
      <c r="D18" s="17" t="inlineStr">
        <is>
          <t>F&amp;S</t>
        </is>
      </c>
      <c r="E18" s="28" t="inlineStr">
        <is>
          <t>At closing</t>
        </is>
      </c>
      <c r="F18" s="4" t="inlineStr">
        <is>
          <t>Open</t>
        </is>
      </c>
      <c r="G18" s="6" t="inlineStr">
        <is>
          <t>High</t>
        </is>
      </c>
      <c r="H18" s="13" t="inlineStr">
        <is>
          <t>C</t>
        </is>
      </c>
      <c r="I18" s="18" t="inlineStr">
        <is>
          <t>-</t>
        </is>
      </c>
      <c r="J18" s="17" t="inlineStr">
        <is>
          <t>Doc 8 §3.7</t>
        </is>
      </c>
    </row>
    <row r="19" ht="45" customHeight="1">
      <c r="A19" s="15" t="inlineStr">
        <is>
          <t>A-201</t>
        </is>
      </c>
      <c r="B19" s="24" t="inlineStr">
        <is>
          <t>Dutch fiscal unity</t>
        </is>
      </c>
      <c r="C19" s="16" t="inlineStr">
        <is>
          <t>Prepare &amp; file Dutch fiscal unity application (BidCo + Nordenvik BV) — file within 3 months of desired effective date (target 1 Apr 2025 → by 1 Jul 2025)</t>
        </is>
      </c>
      <c r="D19" s="17" t="inlineStr">
        <is>
          <t>Van Steenbergen / van der Hoeven</t>
        </is>
      </c>
      <c r="E19" s="28" t="inlineStr">
        <is>
          <t>By 1 Jul 2025</t>
        </is>
      </c>
      <c r="F19" s="6" t="inlineStr">
        <is>
          <t>Critical</t>
        </is>
      </c>
      <c r="G19" s="6" t="inlineStr">
        <is>
          <t>High</t>
        </is>
      </c>
      <c r="H19" s="13" t="inlineStr">
        <is>
          <t>C</t>
        </is>
      </c>
      <c r="I19" s="18" t="inlineStr">
        <is>
          <t>A-202; A-203</t>
        </is>
      </c>
      <c r="J19" s="17" t="inlineStr">
        <is>
          <t>Doc 9 §4; Doc 24 §3</t>
        </is>
      </c>
    </row>
    <row r="20" ht="45" customHeight="1">
      <c r="A20" s="15" t="inlineStr">
        <is>
          <t>A-202</t>
        </is>
      </c>
      <c r="B20" s="24" t="inlineStr">
        <is>
          <t>Dutch substance</t>
        </is>
      </c>
      <c r="C20" s="16" t="inlineStr">
        <is>
          <t>Remediate Nordenvik BV substance: hire 3–5 senior IP/commercial FTEs in Amsterdam; ≥1 senior w/ decision authority; quarterly NL board meetings w/ minutes</t>
        </is>
      </c>
      <c r="D20" s="17" t="inlineStr">
        <is>
          <t>Group Tax / HR</t>
        </is>
      </c>
      <c r="E20" s="28" t="inlineStr">
        <is>
          <t>By 30 Jun 2025</t>
        </is>
      </c>
      <c r="F20" s="6" t="inlineStr">
        <is>
          <t>Critical</t>
        </is>
      </c>
      <c r="G20" s="6" t="inlineStr">
        <is>
          <t>High</t>
        </is>
      </c>
      <c r="H20" s="13" t="inlineStr">
        <is>
          <t>C</t>
        </is>
      </c>
      <c r="I20" s="18" t="inlineStr">
        <is>
          <t>A-007</t>
        </is>
      </c>
      <c r="J20" s="17" t="inlineStr">
        <is>
          <t>Doc 9 §2.4; Doc 24 §3.3</t>
        </is>
      </c>
    </row>
    <row r="21" ht="45" customHeight="1">
      <c r="A21" s="15" t="inlineStr">
        <is>
          <t>A-203</t>
        </is>
      </c>
      <c r="B21" s="24" t="inlineStr">
        <is>
          <t>Dutch substance</t>
        </is>
      </c>
      <c r="C21" s="16" t="inlineStr">
        <is>
          <t>Renew expired APA (royalty rates) with Belastingdienst — file by 30 Jun 2025 alongside fiscal unity; use KPMG arm's-length range 3.5–5.8%</t>
        </is>
      </c>
      <c r="D21" s="17" t="inlineStr">
        <is>
          <t>Van Steenbergen / KPMG</t>
        </is>
      </c>
      <c r="E21" s="28" t="inlineStr">
        <is>
          <t>30 Jun 2025</t>
        </is>
      </c>
      <c r="F21" s="6" t="inlineStr">
        <is>
          <t>Critical</t>
        </is>
      </c>
      <c r="G21" s="6" t="inlineStr">
        <is>
          <t>High</t>
        </is>
      </c>
      <c r="H21" s="13" t="inlineStr">
        <is>
          <t>C</t>
        </is>
      </c>
      <c r="I21" s="18" t="inlineStr">
        <is>
          <t>A-301</t>
        </is>
      </c>
      <c r="J21" s="17" t="inlineStr">
        <is>
          <t>Doc 9; Doc 24 §3.3</t>
        </is>
      </c>
    </row>
    <row r="22" ht="30" customHeight="1">
      <c r="A22" s="15" t="inlineStr">
        <is>
          <t>A-204</t>
        </is>
      </c>
      <c r="B22" s="24" t="inlineStr">
        <is>
          <t>Dutch substance</t>
        </is>
      </c>
      <c r="C22" s="16" t="inlineStr">
        <is>
          <t>Build BidCo substance (local directors, office, documented decision-making) to defend PPT on SE→NL dividend flow</t>
        </is>
      </c>
      <c r="D22" s="17" t="inlineStr">
        <is>
          <t>Legal / Group Tax</t>
        </is>
      </c>
      <c r="E22" s="28" t="inlineStr">
        <is>
          <t>Q1–Q2 2025</t>
        </is>
      </c>
      <c r="F22" s="4" t="inlineStr">
        <is>
          <t>Open</t>
        </is>
      </c>
      <c r="G22" s="4" t="inlineStr">
        <is>
          <t>Medium</t>
        </is>
      </c>
      <c r="H22" s="13" t="inlineStr">
        <is>
          <t>C</t>
        </is>
      </c>
      <c r="I22" s="18" t="inlineStr">
        <is>
          <t>-</t>
        </is>
      </c>
      <c r="J22" s="17" t="inlineStr">
        <is>
          <t>Doc 5 §7.2; Doc 24 §3.4</t>
        </is>
      </c>
    </row>
    <row r="23" ht="30" customHeight="1">
      <c r="A23" s="15" t="inlineStr">
        <is>
          <t>A-205</t>
        </is>
      </c>
      <c r="B23" s="24" t="inlineStr">
        <is>
          <t>Dutch substance</t>
        </is>
      </c>
      <c r="C23" s="16" t="inlineStr">
        <is>
          <t>Assess Dutch Innovation Box (9%) as alternative to Irish KDB — requires S&amp;O-verklaring &amp; nexus analysis</t>
        </is>
      </c>
      <c r="D23" s="17" t="inlineStr">
        <is>
          <t>van der Hoeven</t>
        </is>
      </c>
      <c r="E23" s="28" t="inlineStr">
        <is>
          <t>31 Aug 2025</t>
        </is>
      </c>
      <c r="F23" s="4" t="inlineStr">
        <is>
          <t>Open</t>
        </is>
      </c>
      <c r="G23" s="4" t="inlineStr">
        <is>
          <t>Medium</t>
        </is>
      </c>
      <c r="H23" s="13" t="inlineStr">
        <is>
          <t>C</t>
        </is>
      </c>
      <c r="I23" s="18" t="inlineStr">
        <is>
          <t>A-202</t>
        </is>
      </c>
      <c r="J23" s="17" t="inlineStr">
        <is>
          <t>Doc 24 §5.3; Doc 6</t>
        </is>
      </c>
    </row>
    <row r="24" ht="45" customHeight="1">
      <c r="A24" s="15" t="inlineStr">
        <is>
          <t>A-206</t>
        </is>
      </c>
      <c r="B24" s="24" t="inlineStr">
        <is>
          <t>Dutch fiscal unity</t>
        </is>
      </c>
      <c r="C24" s="16" t="inlineStr">
        <is>
          <t>Confirm per-element fiscal unity availability through Swedish intermediate (Nordenvik Group AB) per CJEU X Holding / Art.15 CITA</t>
        </is>
      </c>
      <c r="D24" s="17" t="inlineStr">
        <is>
          <t>Van Steenbergen</t>
        </is>
      </c>
      <c r="E24" s="28" t="inlineStr">
        <is>
          <t>By 15 May 2025</t>
        </is>
      </c>
      <c r="F24" s="4" t="inlineStr">
        <is>
          <t>Open</t>
        </is>
      </c>
      <c r="G24" s="6" t="inlineStr">
        <is>
          <t>High</t>
        </is>
      </c>
      <c r="H24" s="13" t="inlineStr">
        <is>
          <t>C</t>
        </is>
      </c>
      <c r="I24" s="18" t="inlineStr">
        <is>
          <t>-</t>
        </is>
      </c>
      <c r="J24" s="17" t="inlineStr">
        <is>
          <t>Doc 3 §III; Doc 9 §4</t>
        </is>
      </c>
    </row>
    <row r="25" ht="30" customHeight="1">
      <c r="A25" s="15" t="inlineStr">
        <is>
          <t>A-207</t>
        </is>
      </c>
      <c r="B25" s="24" t="inlineStr">
        <is>
          <t>Dutch substance</t>
        </is>
      </c>
      <c r="C25" s="16" t="inlineStr">
        <is>
          <t>Obtain annual Certificates of Residence (COR) for Nordenvik BV to support SG-NL 0% royalty WHT</t>
        </is>
      </c>
      <c r="D25" s="17" t="inlineStr">
        <is>
          <t>Van Steenbergen</t>
        </is>
      </c>
      <c r="E25" s="28" t="inlineStr">
        <is>
          <t>Annual (from YA2025)</t>
        </is>
      </c>
      <c r="F25" s="4" t="inlineStr">
        <is>
          <t>Open</t>
        </is>
      </c>
      <c r="G25" s="4" t="inlineStr">
        <is>
          <t>Medium</t>
        </is>
      </c>
      <c r="H25" s="13" t="inlineStr">
        <is>
          <t>C</t>
        </is>
      </c>
      <c r="I25" s="18" t="inlineStr">
        <is>
          <t>-</t>
        </is>
      </c>
      <c r="J25" s="17" t="inlineStr">
        <is>
          <t>Doc 10 §4.4</t>
        </is>
      </c>
    </row>
    <row r="26" ht="30" customHeight="1">
      <c r="A26" s="15" t="inlineStr">
        <is>
          <t>A-301</t>
        </is>
      </c>
      <c r="B26" s="24" t="inlineStr">
        <is>
          <t>Singapore incentive</t>
        </is>
      </c>
      <c r="C26" s="16" t="inlineStr">
        <is>
          <t>File ECI for FY2024 at 17% standard rate (due 31 Mar 2025); correct any Pioneer-rate filings</t>
        </is>
      </c>
      <c r="D26" s="17" t="inlineStr">
        <is>
          <t>Rajah &amp; Tann / SG finance</t>
        </is>
      </c>
      <c r="E26" s="28" t="inlineStr">
        <is>
          <t>31 Mar 2025</t>
        </is>
      </c>
      <c r="F26" s="6" t="inlineStr">
        <is>
          <t>Critical</t>
        </is>
      </c>
      <c r="G26" s="6" t="inlineStr">
        <is>
          <t>High</t>
        </is>
      </c>
      <c r="H26" s="13" t="inlineStr">
        <is>
          <t>C</t>
        </is>
      </c>
      <c r="I26" s="18" t="inlineStr">
        <is>
          <t>-</t>
        </is>
      </c>
      <c r="J26" s="17" t="inlineStr">
        <is>
          <t>Doc 10 §3.5</t>
        </is>
      </c>
    </row>
    <row r="27" ht="60" customHeight="1">
      <c r="A27" s="15" t="inlineStr">
        <is>
          <t>A-302</t>
        </is>
      </c>
      <c r="B27" s="24" t="inlineStr">
        <is>
          <t>Singapore incentive</t>
        </is>
      </c>
      <c r="C27" s="16" t="inlineStr">
        <is>
          <t>Assess &amp; prepare Development and Expansion Incentive (DEI) application to EDB (5%/10% concessionary; 6–12 mo process); build SG investment commitments into integration plan</t>
        </is>
      </c>
      <c r="D27" s="17" t="inlineStr">
        <is>
          <t>Rajah &amp; Tann / Group Tax</t>
        </is>
      </c>
      <c r="E27" s="28" t="inlineStr">
        <is>
          <t>Q3 2025</t>
        </is>
      </c>
      <c r="F27" s="4" t="inlineStr">
        <is>
          <t>Open</t>
        </is>
      </c>
      <c r="G27" s="6" t="inlineStr">
        <is>
          <t>High</t>
        </is>
      </c>
      <c r="H27" s="13" t="inlineStr">
        <is>
          <t>C</t>
        </is>
      </c>
      <c r="I27" s="18" t="inlineStr">
        <is>
          <t>A-006</t>
        </is>
      </c>
      <c r="J27" s="17" t="inlineStr">
        <is>
          <t>Doc 10 §3.6</t>
        </is>
      </c>
    </row>
    <row r="28" ht="45" customHeight="1">
      <c r="A28" s="15" t="inlineStr">
        <is>
          <t>A-303</t>
        </is>
      </c>
      <c r="B28" s="24" t="inlineStr">
        <is>
          <t>Singapore incentive</t>
        </is>
      </c>
      <c r="C28" s="16" t="inlineStr">
        <is>
          <t>Maintain SG tax residency: board meetings &amp; strategic decisions in Singapore; document minutes; caution on non-resident directors</t>
        </is>
      </c>
      <c r="D28" s="17" t="inlineStr">
        <is>
          <t>Rajah &amp; Tann / SG mgmt</t>
        </is>
      </c>
      <c r="E28" s="28" t="inlineStr">
        <is>
          <t>Ongoing</t>
        </is>
      </c>
      <c r="F28" s="4" t="inlineStr">
        <is>
          <t>Open</t>
        </is>
      </c>
      <c r="G28" s="4" t="inlineStr">
        <is>
          <t>Medium</t>
        </is>
      </c>
      <c r="H28" s="13" t="inlineStr">
        <is>
          <t>C</t>
        </is>
      </c>
      <c r="I28" s="18" t="inlineStr">
        <is>
          <t>-</t>
        </is>
      </c>
      <c r="J28" s="17" t="inlineStr">
        <is>
          <t>Doc 10 §2.3</t>
        </is>
      </c>
    </row>
    <row r="29" ht="30" customHeight="1">
      <c r="A29" s="15" t="inlineStr">
        <is>
          <t>A-304</t>
        </is>
      </c>
      <c r="B29" s="24" t="inlineStr">
        <is>
          <t>Singapore incentive</t>
        </is>
      </c>
      <c r="C29" s="16" t="inlineStr">
        <is>
          <t>Evaluate IP Development Incentive (IDI) if SG R&amp;D activities undertaken</t>
        </is>
      </c>
      <c r="D29" s="17" t="inlineStr">
        <is>
          <t>Rajah &amp; Tann</t>
        </is>
      </c>
      <c r="E29" s="28" t="inlineStr">
        <is>
          <t>FY2026</t>
        </is>
      </c>
      <c r="F29" s="8" t="inlineStr">
        <is>
          <t>Deferred</t>
        </is>
      </c>
      <c r="G29" s="7" t="inlineStr">
        <is>
          <t>Low</t>
        </is>
      </c>
      <c r="H29" s="8" t="inlineStr">
        <is>
          <t>P2</t>
        </is>
      </c>
      <c r="I29" s="18" t="inlineStr">
        <is>
          <t>-</t>
        </is>
      </c>
      <c r="J29" s="17" t="inlineStr">
        <is>
          <t>Doc 10 §3.6</t>
        </is>
      </c>
    </row>
    <row r="30" ht="45" customHeight="1">
      <c r="A30" s="15" t="inlineStr">
        <is>
          <t>A-401</t>
        </is>
      </c>
      <c r="B30" s="24" t="inlineStr">
        <is>
          <t>Transfer pricing</t>
        </is>
      </c>
      <c r="C30" s="16" t="inlineStr">
        <is>
          <t>Adopt KPMG updated TP study (Doc 11) as single source of truth for royalty/loan rates; reconcile conflicting rates across docs</t>
        </is>
      </c>
      <c r="D30" s="17" t="inlineStr">
        <is>
          <t>Group Tax / KPMG</t>
        </is>
      </c>
      <c r="E30" s="28" t="inlineStr">
        <is>
          <t>Q1 2025</t>
        </is>
      </c>
      <c r="F30" s="6" t="inlineStr">
        <is>
          <t>Critical</t>
        </is>
      </c>
      <c r="G30" s="6" t="inlineStr">
        <is>
          <t>High</t>
        </is>
      </c>
      <c r="H30" s="4" t="inlineStr">
        <is>
          <t>P</t>
        </is>
      </c>
      <c r="I30" s="18" t="inlineStr">
        <is>
          <t>A-006</t>
        </is>
      </c>
      <c r="J30" s="17" t="inlineStr">
        <is>
          <t>Doc 11; Doc 2; Doc 5</t>
        </is>
      </c>
    </row>
    <row r="31" ht="30" customHeight="1">
      <c r="A31" s="15" t="inlineStr">
        <is>
          <t>A-402</t>
        </is>
      </c>
      <c r="B31" s="24" t="inlineStr">
        <is>
          <t>Transfer pricing</t>
        </is>
      </c>
      <c r="C31" s="16" t="inlineStr">
        <is>
          <t>Commission post-acquisition master file &amp; local files tailored to new structure (DE, NL, SG, SE)</t>
        </is>
      </c>
      <c r="D31" s="17" t="inlineStr">
        <is>
          <t>KPMG / local advisors</t>
        </is>
      </c>
      <c r="E31" s="28" t="inlineStr">
        <is>
          <t>Q3 2025</t>
        </is>
      </c>
      <c r="F31" s="4" t="inlineStr">
        <is>
          <t>Open</t>
        </is>
      </c>
      <c r="G31" s="6" t="inlineStr">
        <is>
          <t>High</t>
        </is>
      </c>
      <c r="H31" s="13" t="inlineStr">
        <is>
          <t>C</t>
        </is>
      </c>
      <c r="I31" s="18" t="inlineStr">
        <is>
          <t>A-401</t>
        </is>
      </c>
      <c r="J31" s="17" t="inlineStr">
        <is>
          <t>Doc 8 §6; Doc 5 §7.2</t>
        </is>
      </c>
    </row>
    <row r="32" ht="30" customHeight="1">
      <c r="A32" s="15" t="inlineStr">
        <is>
          <t>A-403</t>
        </is>
      </c>
      <c r="B32" s="24" t="inlineStr">
        <is>
          <t>Transfer pricing</t>
        </is>
      </c>
      <c r="C32" s="16" t="inlineStr">
        <is>
          <t>Refresh royalty benchmark study (current 2018 study stale); confirm arm's-length range &amp; DEMPE alignment</t>
        </is>
      </c>
      <c r="D32" s="17" t="inlineStr">
        <is>
          <t>KPMG</t>
        </is>
      </c>
      <c r="E32" s="28" t="inlineStr">
        <is>
          <t>Q3 2025</t>
        </is>
      </c>
      <c r="F32" s="4" t="inlineStr">
        <is>
          <t>Open</t>
        </is>
      </c>
      <c r="G32" s="6" t="inlineStr">
        <is>
          <t>High</t>
        </is>
      </c>
      <c r="H32" s="13" t="inlineStr">
        <is>
          <t>C</t>
        </is>
      </c>
      <c r="I32" s="18" t="inlineStr">
        <is>
          <t>A-401</t>
        </is>
      </c>
      <c r="J32" s="17" t="inlineStr">
        <is>
          <t>Doc 2 §V.A; Doc 11</t>
        </is>
      </c>
    </row>
    <row r="33" ht="30" customHeight="1">
      <c r="A33" s="15" t="inlineStr">
        <is>
          <t>A-404</t>
        </is>
      </c>
      <c r="B33" s="24" t="inlineStr">
        <is>
          <t>Transfer pricing</t>
        </is>
      </c>
      <c r="C33" s="16" t="inlineStr">
        <is>
          <t>Implement travel-tracking policy for Nordenvik BV personnel (DE/SE) to mitigate PE risk</t>
        </is>
      </c>
      <c r="D33" s="17" t="inlineStr">
        <is>
          <t>Legal / Compliance</t>
        </is>
      </c>
      <c r="E33" s="28" t="inlineStr">
        <is>
          <t>Q1 2025</t>
        </is>
      </c>
      <c r="F33" s="4" t="inlineStr">
        <is>
          <t>Open</t>
        </is>
      </c>
      <c r="G33" s="4" t="inlineStr">
        <is>
          <t>Medium</t>
        </is>
      </c>
      <c r="H33" s="13" t="inlineStr">
        <is>
          <t>C</t>
        </is>
      </c>
      <c r="I33" s="18" t="inlineStr">
        <is>
          <t>-</t>
        </is>
      </c>
      <c r="J33" s="17" t="inlineStr">
        <is>
          <t>Doc 5 §6.2</t>
        </is>
      </c>
    </row>
    <row r="34" ht="30" customHeight="1">
      <c r="A34" s="15" t="inlineStr">
        <is>
          <t>A-405</t>
        </is>
      </c>
      <c r="B34" s="24" t="inlineStr">
        <is>
          <t>Transfer pricing</t>
        </is>
      </c>
      <c r="C34" s="16" t="inlineStr">
        <is>
          <t>Document stand-alone credit analysis for German intercompany loan (BFH I R 4/17 — no implicit group support)</t>
        </is>
      </c>
      <c r="D34" s="17" t="inlineStr">
        <is>
          <t>F&amp;S / KPMG</t>
        </is>
      </c>
      <c r="E34" s="28" t="inlineStr">
        <is>
          <t>Q2 2025</t>
        </is>
      </c>
      <c r="F34" s="4" t="inlineStr">
        <is>
          <t>Open</t>
        </is>
      </c>
      <c r="G34" s="4" t="inlineStr">
        <is>
          <t>Medium</t>
        </is>
      </c>
      <c r="H34" s="13" t="inlineStr">
        <is>
          <t>C</t>
        </is>
      </c>
      <c r="I34" s="18" t="inlineStr">
        <is>
          <t>-</t>
        </is>
      </c>
      <c r="J34" s="17" t="inlineStr">
        <is>
          <t>Doc 8 §6.3</t>
        </is>
      </c>
    </row>
    <row r="35" ht="30" customHeight="1">
      <c r="A35" s="15" t="inlineStr">
        <is>
          <t>A-501</t>
        </is>
      </c>
      <c r="B35" s="24" t="inlineStr">
        <is>
          <t>RWI / SPA</t>
        </is>
      </c>
      <c r="C35" s="16" t="inlineStr">
        <is>
          <t>Negotiate specific indemnity/escrow for German FY19-21 audit contingent (€2.4M) — excluded from RWI as known issue</t>
        </is>
      </c>
      <c r="D35" s="17" t="inlineStr">
        <is>
          <t>Hargrove &amp; Lund / Deal team</t>
        </is>
      </c>
      <c r="E35" s="28" t="inlineStr">
        <is>
          <t>Pre-closing</t>
        </is>
      </c>
      <c r="F35" s="6" t="inlineStr">
        <is>
          <t>Critical</t>
        </is>
      </c>
      <c r="G35" s="6" t="inlineStr">
        <is>
          <t>High</t>
        </is>
      </c>
      <c r="H35" s="4" t="inlineStr">
        <is>
          <t>P</t>
        </is>
      </c>
      <c r="I35" s="18" t="inlineStr">
        <is>
          <t>-</t>
        </is>
      </c>
      <c r="J35" s="17" t="inlineStr">
        <is>
          <t>Doc 12 Priority 4; Doc 20</t>
        </is>
      </c>
    </row>
    <row r="36" ht="45" customHeight="1">
      <c r="A36" s="15" t="inlineStr">
        <is>
          <t>A-502</t>
        </is>
      </c>
      <c r="B36" s="24" t="inlineStr">
        <is>
          <t>RWI / SPA</t>
        </is>
      </c>
      <c r="C36" s="16" t="inlineStr">
        <is>
          <t>SPA rep: confirm neither German entity holds direct/indirect German real property (GrESt §1(2b)); obtain Grundbuch confirmation</t>
        </is>
      </c>
      <c r="D36" s="17" t="inlineStr">
        <is>
          <t>F&amp;S / Deal team</t>
        </is>
      </c>
      <c r="E36" s="28" t="inlineStr">
        <is>
          <t>Pre-closing</t>
        </is>
      </c>
      <c r="F36" s="4" t="inlineStr">
        <is>
          <t>Open</t>
        </is>
      </c>
      <c r="G36" s="4" t="inlineStr">
        <is>
          <t>Medium</t>
        </is>
      </c>
      <c r="H36" s="4" t="inlineStr">
        <is>
          <t>P</t>
        </is>
      </c>
      <c r="I36" s="18" t="inlineStr">
        <is>
          <t>-</t>
        </is>
      </c>
      <c r="J36" s="17" t="inlineStr">
        <is>
          <t>Doc 8 §9</t>
        </is>
      </c>
    </row>
    <row r="37" ht="45" customHeight="1">
      <c r="A37" s="15" t="inlineStr">
        <is>
          <t>A-503</t>
        </is>
      </c>
      <c r="B37" s="24" t="inlineStr">
        <is>
          <t>RWI / SPA</t>
        </is>
      </c>
      <c r="C37" s="16" t="inlineStr">
        <is>
          <t>SPA rep on IP change-of-control consents (IP license agreements §14.2 — &gt;50% UBO change); obtain intragroup waiver/consent or amendment</t>
        </is>
      </c>
      <c r="D37" s="17" t="inlineStr">
        <is>
          <t>Hargrove &amp; Lund / IP counsel</t>
        </is>
      </c>
      <c r="E37" s="28" t="inlineStr">
        <is>
          <t>Pre-closing</t>
        </is>
      </c>
      <c r="F37" s="4" t="inlineStr">
        <is>
          <t>Open</t>
        </is>
      </c>
      <c r="G37" s="6" t="inlineStr">
        <is>
          <t>High</t>
        </is>
      </c>
      <c r="H37" s="4" t="inlineStr">
        <is>
          <t>P</t>
        </is>
      </c>
      <c r="I37" s="18" t="inlineStr">
        <is>
          <t>-</t>
        </is>
      </c>
      <c r="J37" s="17" t="inlineStr">
        <is>
          <t>Doc 2 §IV.A</t>
        </is>
      </c>
    </row>
    <row r="38" ht="30" customHeight="1">
      <c r="A38" s="15" t="inlineStr">
        <is>
          <t>A-504</t>
        </is>
      </c>
      <c r="B38" s="24" t="inlineStr">
        <is>
          <t>RWI / SPA</t>
        </is>
      </c>
      <c r="C38" s="16" t="inlineStr">
        <is>
          <t>Confirm RWI binder scope, retentions, and known-issue exclusions (Doc 20: $50M limit, 1% retention)</t>
        </is>
      </c>
      <c r="D38" s="17" t="inlineStr">
        <is>
          <t>Hargrove &amp; Lund</t>
        </is>
      </c>
      <c r="E38" s="28" t="inlineStr">
        <is>
          <t>Pre-closing</t>
        </is>
      </c>
      <c r="F38" s="4" t="inlineStr">
        <is>
          <t>Open</t>
        </is>
      </c>
      <c r="G38" s="4" t="inlineStr">
        <is>
          <t>Medium</t>
        </is>
      </c>
      <c r="H38" s="4" t="inlineStr">
        <is>
          <t>P</t>
        </is>
      </c>
      <c r="I38" s="18" t="inlineStr">
        <is>
          <t>-</t>
        </is>
      </c>
      <c r="J38" s="17" t="inlineStr">
        <is>
          <t>Doc 20</t>
        </is>
      </c>
    </row>
    <row r="39" ht="45" customHeight="1">
      <c r="A39" s="15" t="inlineStr">
        <is>
          <t>A-601</t>
        </is>
      </c>
      <c r="B39" s="24" t="inlineStr">
        <is>
          <t>DAC6 / reporting</t>
        </is>
      </c>
      <c r="C39" s="16" t="inlineStr">
        <is>
          <t>Complete DAC6 analysis: Hallmarks C (commenced), D &amp; E (not started); intermediary/taxpayer allocation; filing conclusion for LU &amp; NL</t>
        </is>
      </c>
      <c r="D39" s="17" t="inlineStr">
        <is>
          <t>Hargrove &amp; Lund / LU &amp; NL counsel</t>
        </is>
      </c>
      <c r="E39" s="28" t="inlineStr">
        <is>
          <t>Pre-closing</t>
        </is>
      </c>
      <c r="F39" s="6" t="inlineStr">
        <is>
          <t>Critical</t>
        </is>
      </c>
      <c r="G39" s="6" t="inlineStr">
        <is>
          <t>High</t>
        </is>
      </c>
      <c r="H39" s="4" t="inlineStr">
        <is>
          <t>P</t>
        </is>
      </c>
      <c r="I39" s="18" t="inlineStr">
        <is>
          <t>-</t>
        </is>
      </c>
      <c r="J39" s="17" t="inlineStr">
        <is>
          <t>Doc 23 (incomplete)</t>
        </is>
      </c>
    </row>
    <row r="40" ht="30" customHeight="1">
      <c r="A40" s="15" t="inlineStr">
        <is>
          <t>A-602</t>
        </is>
      </c>
      <c r="B40" s="24" t="inlineStr">
        <is>
          <t>DAC6 / reporting</t>
        </is>
      </c>
      <c r="C40" s="16" t="inlineStr">
        <is>
          <t>File any reportable arrangement within 30 days of trigger event (made available / ready / first step) in LU &amp; NL</t>
        </is>
      </c>
      <c r="D40" s="17" t="inlineStr">
        <is>
          <t>LU &amp; NL counsel</t>
        </is>
      </c>
      <c r="E40" s="28" t="inlineStr">
        <is>
          <t>At trigger</t>
        </is>
      </c>
      <c r="F40" s="4" t="inlineStr">
        <is>
          <t>Open</t>
        </is>
      </c>
      <c r="G40" s="6" t="inlineStr">
        <is>
          <t>High</t>
        </is>
      </c>
      <c r="H40" s="13" t="inlineStr">
        <is>
          <t>C</t>
        </is>
      </c>
      <c r="I40" s="18" t="inlineStr">
        <is>
          <t>A-601</t>
        </is>
      </c>
      <c r="J40" s="17" t="inlineStr">
        <is>
          <t>Doc 23 §III</t>
        </is>
      </c>
    </row>
    <row r="41" ht="45" customHeight="1">
      <c r="A41" s="15" t="inlineStr">
        <is>
          <t>A-603</t>
        </is>
      </c>
      <c r="B41" s="24" t="inlineStr">
        <is>
          <t>DAC6 / reporting</t>
        </is>
      </c>
      <c r="C41" s="16" t="inlineStr">
        <is>
          <t>Maintain CbCR data quality for transitional safe harbor; confirm CbCR filing responsibility (Meridian group &gt;€750M revenue)</t>
        </is>
      </c>
      <c r="D41" s="17" t="inlineStr">
        <is>
          <t>Group Tax / Finance IT</t>
        </is>
      </c>
      <c r="E41" s="28" t="inlineStr">
        <is>
          <t>Ongoing</t>
        </is>
      </c>
      <c r="F41" s="4" t="inlineStr">
        <is>
          <t>Open</t>
        </is>
      </c>
      <c r="G41" s="4" t="inlineStr">
        <is>
          <t>Medium</t>
        </is>
      </c>
      <c r="H41" s="13" t="inlineStr">
        <is>
          <t>C</t>
        </is>
      </c>
      <c r="I41" s="18" t="inlineStr">
        <is>
          <t>-</t>
        </is>
      </c>
      <c r="J41" s="17" t="inlineStr">
        <is>
          <t>Doc 5 §5.3; Doc 8 §6.1</t>
        </is>
      </c>
    </row>
    <row r="42" ht="30" customHeight="1">
      <c r="A42" s="15" t="inlineStr">
        <is>
          <t>A-701</t>
        </is>
      </c>
      <c r="B42" s="24" t="inlineStr">
        <is>
          <t>Phase 2 — Irish IP</t>
        </is>
      </c>
      <c r="C42" s="16" t="inlineStr">
        <is>
          <t>Commission Irish KDB qualification &amp; nexus analysis BEFORE any IP migration (nexus fraction may be &lt;100%)</t>
        </is>
      </c>
      <c r="D42" s="17" t="inlineStr">
        <is>
          <t>Irish advisor / Group Tax</t>
        </is>
      </c>
      <c r="E42" s="28" t="inlineStr">
        <is>
          <t>FY2026</t>
        </is>
      </c>
      <c r="F42" s="8" t="inlineStr">
        <is>
          <t>Deferred</t>
        </is>
      </c>
      <c r="G42" s="6" t="inlineStr">
        <is>
          <t>High</t>
        </is>
      </c>
      <c r="H42" s="8" t="inlineStr">
        <is>
          <t>P2</t>
        </is>
      </c>
      <c r="I42" s="18" t="inlineStr">
        <is>
          <t>A-202</t>
        </is>
      </c>
      <c r="J42" s="17" t="inlineStr">
        <is>
          <t>Doc 24 §5</t>
        </is>
      </c>
    </row>
    <row r="43" ht="45" customHeight="1">
      <c r="A43" s="15" t="inlineStr">
        <is>
          <t>A-702</t>
        </is>
      </c>
      <c r="B43" s="24" t="inlineStr">
        <is>
          <t>Phase 2 — Irish IP</t>
        </is>
      </c>
      <c r="C43" s="16" t="inlineStr">
        <is>
          <t>Quantify Dutch exit charge on IP migration (FMV €55M − TBV €42M = ≥€13M gain → €3.35M CIT) &amp; Innovation Box interaction</t>
        </is>
      </c>
      <c r="D43" s="17" t="inlineStr">
        <is>
          <t>Van Steenbergen</t>
        </is>
      </c>
      <c r="E43" s="28" t="inlineStr">
        <is>
          <t>FY2026</t>
        </is>
      </c>
      <c r="F43" s="8" t="inlineStr">
        <is>
          <t>Deferred</t>
        </is>
      </c>
      <c r="G43" s="6" t="inlineStr">
        <is>
          <t>High</t>
        </is>
      </c>
      <c r="H43" s="8" t="inlineStr">
        <is>
          <t>P2</t>
        </is>
      </c>
      <c r="I43" s="18" t="inlineStr">
        <is>
          <t>-</t>
        </is>
      </c>
      <c r="J43" s="17" t="inlineStr">
        <is>
          <t>Doc 24 §5.4 (gap)</t>
        </is>
      </c>
    </row>
    <row r="44" ht="30" customHeight="1">
      <c r="A44" s="15" t="inlineStr">
        <is>
          <t>A-703</t>
        </is>
      </c>
      <c r="B44" s="24" t="inlineStr">
        <is>
          <t>Phase 2 — Irish IP</t>
        </is>
      </c>
      <c r="C44" s="16" t="inlineStr">
        <is>
          <t>Assess Swedish CFC risk of Irish KDB (6.25% &lt; 11.22% SE threshold) — could negate entire benefit</t>
        </is>
      </c>
      <c r="D44" s="17" t="inlineStr">
        <is>
          <t>Lindström &amp; Partners</t>
        </is>
      </c>
      <c r="E44" s="28" t="inlineStr">
        <is>
          <t>FY2026</t>
        </is>
      </c>
      <c r="F44" s="8" t="inlineStr">
        <is>
          <t>Deferred</t>
        </is>
      </c>
      <c r="G44" s="6" t="inlineStr">
        <is>
          <t>High</t>
        </is>
      </c>
      <c r="H44" s="8" t="inlineStr">
        <is>
          <t>P2</t>
        </is>
      </c>
      <c r="I44" s="18" t="inlineStr">
        <is>
          <t>-</t>
        </is>
      </c>
      <c r="J44" s="17" t="inlineStr">
        <is>
          <t>Doc 24 §5.4 (gap)</t>
        </is>
      </c>
    </row>
    <row r="45" ht="45" customHeight="1">
      <c r="A45" s="15" t="inlineStr">
        <is>
          <t>A-704</t>
        </is>
      </c>
      <c r="B45" s="24" t="inlineStr">
        <is>
          <t>Phase 2 — Pillar Two</t>
        </is>
      </c>
      <c r="C45" s="16" t="inlineStr">
        <is>
          <t>Implement GloBE data collection; evaluate QDMTT (NL/LU/SE/DE enacted; SG expected FY2025); monitor €750M threshold (~FY2029-32)</t>
        </is>
      </c>
      <c r="D45" s="17" t="inlineStr">
        <is>
          <t>Group Tax / Finance IT</t>
        </is>
      </c>
      <c r="E45" s="28" t="inlineStr">
        <is>
          <t>FY2027</t>
        </is>
      </c>
      <c r="F45" s="8" t="inlineStr">
        <is>
          <t>Deferred</t>
        </is>
      </c>
      <c r="G45" s="6" t="inlineStr">
        <is>
          <t>High</t>
        </is>
      </c>
      <c r="H45" s="8" t="inlineStr">
        <is>
          <t>P2</t>
        </is>
      </c>
      <c r="I45" s="18" t="inlineStr">
        <is>
          <t>-</t>
        </is>
      </c>
      <c r="J45" s="17" t="inlineStr">
        <is>
          <t>Doc 5 §5</t>
        </is>
      </c>
    </row>
    <row r="46" ht="30" customHeight="1">
      <c r="A46" s="15" t="inlineStr">
        <is>
          <t>A-705</t>
        </is>
      </c>
      <c r="B46" s="24" t="inlineStr">
        <is>
          <t>Phase 2 — Pillar Two</t>
        </is>
      </c>
      <c r="C46" s="16" t="inlineStr">
        <is>
          <t>Cost-benefit of maintaining Luxembourg layer post-Pillar Two (0.2% ETR → top-up); consider simplification</t>
        </is>
      </c>
      <c r="D46" s="17" t="inlineStr">
        <is>
          <t>Group Tax / Advisors</t>
        </is>
      </c>
      <c r="E46" s="28" t="inlineStr">
        <is>
          <t>FY2027-28</t>
        </is>
      </c>
      <c r="F46" s="8" t="inlineStr">
        <is>
          <t>Deferred</t>
        </is>
      </c>
      <c r="G46" s="4" t="inlineStr">
        <is>
          <t>Medium</t>
        </is>
      </c>
      <c r="H46" s="8" t="inlineStr">
        <is>
          <t>P2</t>
        </is>
      </c>
      <c r="I46" s="18" t="inlineStr">
        <is>
          <t>-</t>
        </is>
      </c>
      <c r="J46" s="17" t="inlineStr">
        <is>
          <t>Doc 5 §5.3</t>
        </is>
      </c>
    </row>
  </sheetData>
  <autoFilter ref="A4:J46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8" customWidth="1" min="3" max="3"/>
    <col width="10" customWidth="1" min="4" max="4"/>
    <col width="26" customWidth="1" min="5" max="5"/>
    <col width="3" customWidth="1" min="6" max="6"/>
  </cols>
  <sheetData>
    <row r="1" ht="26" customHeight="1">
      <c r="A1" s="20" t="inlineStr">
        <is>
          <t>PRE-CLOSING TAX CONDITION PRECEDENTS / KEY ACTIONS</t>
        </is>
      </c>
    </row>
    <row r="2" ht="16" customHeight="1">
      <c r="A2" s="21" t="inlineStr">
        <is>
          <t>Hard blockers to closing &amp; signing. Tick when complete.</t>
        </is>
      </c>
    </row>
    <row r="3" ht="24" customHeight="1"/>
    <row r="4" ht="20" customHeight="1">
      <c r="A4" s="9" t="inlineStr">
        <is>
          <t>#</t>
        </is>
      </c>
      <c r="B4" s="27" t="inlineStr">
        <is>
          <t>Action</t>
        </is>
      </c>
      <c r="C4" s="9" t="inlineStr">
        <is>
          <t>Required by</t>
        </is>
      </c>
      <c r="D4" s="9" t="inlineStr">
        <is>
          <t>Done?</t>
        </is>
      </c>
      <c r="E4" s="27" t="inlineStr">
        <is>
          <t>Owner</t>
        </is>
      </c>
      <c r="F4" s="9" t="n"/>
    </row>
    <row r="5" ht="30" customHeight="1">
      <c r="A5" s="15" t="inlineStr">
        <is>
          <t>B-001</t>
        </is>
      </c>
      <c r="B5" s="16" t="inlineStr">
        <is>
          <t>Stille Reserven analysis (German §8c) commissioned &amp; outcome reflected in price/escrow</t>
        </is>
      </c>
      <c r="C5" s="18" t="inlineStr">
        <is>
          <t>SPA execution</t>
        </is>
      </c>
      <c r="D5" s="19" t="inlineStr">
        <is>
          <t>☐</t>
        </is>
      </c>
      <c r="E5" s="30" t="inlineStr">
        <is>
          <t>F&amp;S / Deal team</t>
        </is>
      </c>
    </row>
    <row r="6" ht="30" customHeight="1">
      <c r="A6" s="15" t="inlineStr">
        <is>
          <t>B-002</t>
        </is>
      </c>
      <c r="B6" s="16" t="inlineStr">
        <is>
          <t>Financial model corrected (Singapore 17%; Swedish standalone-EBITDA disallowance); IRR re-underwritten</t>
        </is>
      </c>
      <c r="C6" s="18" t="inlineStr">
        <is>
          <t>SPA execution</t>
        </is>
      </c>
      <c r="D6" s="19" t="inlineStr">
        <is>
          <t>☐</t>
        </is>
      </c>
      <c r="E6" s="30" t="inlineStr">
        <is>
          <t>Deal Analytics</t>
        </is>
      </c>
    </row>
    <row r="7" ht="30" customHeight="1">
      <c r="A7" s="15" t="inlineStr">
        <is>
          <t>B-003</t>
        </is>
      </c>
      <c r="B7" s="16" t="inlineStr">
        <is>
          <t>Debt placement decision (Option A: retain at BidCo) confirmed with lenders &amp; Dutch counsel</t>
        </is>
      </c>
      <c r="C7" s="18" t="inlineStr">
        <is>
          <t>Closing</t>
        </is>
      </c>
      <c r="D7" s="19" t="inlineStr">
        <is>
          <t>☐</t>
        </is>
      </c>
      <c r="E7" s="30" t="inlineStr">
        <is>
          <t>Osei-Mensah / Lenders</t>
        </is>
      </c>
    </row>
    <row r="8" ht="30" customHeight="1">
      <c r="A8" s="15" t="inlineStr">
        <is>
          <t>B-004</t>
        </is>
      </c>
      <c r="B8" s="16" t="inlineStr">
        <is>
          <t>Acquiring fund identity confirmed (Meridian IV vs MonteCedro) and SPA parties aligned</t>
        </is>
      </c>
      <c r="C8" s="18" t="inlineStr">
        <is>
          <t>SPA execution</t>
        </is>
      </c>
      <c r="D8" s="19" t="inlineStr">
        <is>
          <t>☐</t>
        </is>
      </c>
      <c r="E8" s="30" t="inlineStr">
        <is>
          <t>Deal team</t>
        </is>
      </c>
    </row>
    <row r="9" ht="24" customHeight="1">
      <c r="A9" s="15" t="inlineStr">
        <is>
          <t>B-005</t>
        </is>
      </c>
      <c r="B9" s="16" t="inlineStr">
        <is>
          <t>Entity register reconciled with Group Legal</t>
        </is>
      </c>
      <c r="C9" s="18" t="inlineStr">
        <is>
          <t>SPA execution</t>
        </is>
      </c>
      <c r="D9" s="19" t="inlineStr">
        <is>
          <t>☐</t>
        </is>
      </c>
      <c r="E9" s="30" t="inlineStr">
        <is>
          <t>Subramaniam</t>
        </is>
      </c>
    </row>
    <row r="10" ht="30" customHeight="1">
      <c r="A10" s="15" t="inlineStr">
        <is>
          <t>B-006</t>
        </is>
      </c>
      <c r="B10" s="16" t="inlineStr">
        <is>
          <t>Specific indemnity/escrow for German €2.4M audit contingent negotiated</t>
        </is>
      </c>
      <c r="C10" s="18" t="inlineStr">
        <is>
          <t>SPA execution</t>
        </is>
      </c>
      <c r="D10" s="19" t="inlineStr">
        <is>
          <t>☐</t>
        </is>
      </c>
      <c r="E10" s="30" t="inlineStr">
        <is>
          <t>Hargrove &amp; Lund</t>
        </is>
      </c>
    </row>
    <row r="11" ht="24" customHeight="1">
      <c r="A11" s="15" t="inlineStr">
        <is>
          <t>B-007</t>
        </is>
      </c>
      <c r="B11" s="16" t="inlineStr">
        <is>
          <t>Grundbuch search — confirm no German real property (GrESt)</t>
        </is>
      </c>
      <c r="C11" s="18" t="inlineStr">
        <is>
          <t>Closing</t>
        </is>
      </c>
      <c r="D11" s="19" t="inlineStr">
        <is>
          <t>☐</t>
        </is>
      </c>
      <c r="E11" s="30" t="inlineStr">
        <is>
          <t>F&amp;S</t>
        </is>
      </c>
    </row>
    <row r="12" ht="30" customHeight="1">
      <c r="A12" s="15" t="inlineStr">
        <is>
          <t>B-008</t>
        </is>
      </c>
      <c r="B12" s="16" t="inlineStr">
        <is>
          <t>IP license change-of-control consents obtained/waiver mechanism agreed</t>
        </is>
      </c>
      <c r="C12" s="18" t="inlineStr">
        <is>
          <t>Closing</t>
        </is>
      </c>
      <c r="D12" s="19" t="inlineStr">
        <is>
          <t>☐</t>
        </is>
      </c>
      <c r="E12" s="30" t="inlineStr">
        <is>
          <t>IP counsel</t>
        </is>
      </c>
    </row>
    <row r="13" ht="24" customHeight="1">
      <c r="A13" s="15" t="inlineStr">
        <is>
          <t>B-009</t>
        </is>
      </c>
      <c r="B13" s="16" t="inlineStr">
        <is>
          <t>DAC6 analysis completed; filing determination for LU &amp; NL</t>
        </is>
      </c>
      <c r="C13" s="18" t="inlineStr">
        <is>
          <t>Closing</t>
        </is>
      </c>
      <c r="D13" s="19" t="inlineStr">
        <is>
          <t>☐</t>
        </is>
      </c>
      <c r="E13" s="30" t="inlineStr">
        <is>
          <t>LU &amp; NL counsel</t>
        </is>
      </c>
    </row>
    <row r="14" ht="30" customHeight="1">
      <c r="A14" s="15" t="inlineStr">
        <is>
          <t>B-010</t>
        </is>
      </c>
      <c r="B14" s="16" t="inlineStr">
        <is>
          <t>RWI binder bound ($50M, 1% retention); known-issue exclusions confirmed</t>
        </is>
      </c>
      <c r="C14" s="18" t="inlineStr">
        <is>
          <t>Closing</t>
        </is>
      </c>
      <c r="D14" s="19" t="inlineStr">
        <is>
          <t>☐</t>
        </is>
      </c>
      <c r="E14" s="30" t="inlineStr">
        <is>
          <t>Hargrove &amp; Lund</t>
        </is>
      </c>
    </row>
    <row r="15" ht="30" customHeight="1">
      <c r="A15" s="15" t="inlineStr">
        <is>
          <t>B-011</t>
        </is>
      </c>
      <c r="B15" s="16" t="inlineStr">
        <is>
          <t>Tax structuring memorandum delivered to lenders (CP #9: Art.10a CITA non-applicability confirmed)</t>
        </is>
      </c>
      <c r="C15" s="18" t="inlineStr">
        <is>
          <t>Closing</t>
        </is>
      </c>
      <c r="D15" s="19" t="inlineStr">
        <is>
          <t>☐</t>
        </is>
      </c>
      <c r="E15" s="30" t="inlineStr">
        <is>
          <t>Hargrove &amp; Lund</t>
        </is>
      </c>
    </row>
    <row r="16" ht="30" customHeight="1">
      <c r="A16" s="15" t="inlineStr">
        <is>
          <t>B-012</t>
        </is>
      </c>
      <c r="B16" s="16" t="inlineStr">
        <is>
          <t>KPMG updated TP study (Doc 11) finalized &amp; adopted as single source</t>
        </is>
      </c>
      <c r="C16" s="18" t="inlineStr">
        <is>
          <t>Closing</t>
        </is>
      </c>
      <c r="D16" s="19" t="inlineStr">
        <is>
          <t>☐</t>
        </is>
      </c>
      <c r="E16" s="30" t="inlineStr">
        <is>
          <t>KPMG / Group Tax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2026-08-24T21:46:07Z</dcterms:created>
  <dcterms:modified xmlns:dcterms="http://purl.org/dc/terms/" xmlns:xsi="http://www.w3.org/2001/XMLSchema-instance" xsi:type="dcterms:W3CDTF">2026-08-25T00:50:10Z</dcterms:modified>
</cp:coreProperties>
</file>