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" sheetId="1" state="visible" r:id="rId1"/>
    <sheet xmlns:r="http://schemas.openxmlformats.org/officeDocument/2006/relationships" name="Contributions" sheetId="2" state="visible" r:id="rId2"/>
    <sheet xmlns:r="http://schemas.openxmlformats.org/officeDocument/2006/relationships" name="Dental Reimbursement" sheetId="3" state="visible" r:id="rId3"/>
    <sheet xmlns:r="http://schemas.openxmlformats.org/officeDocument/2006/relationships" name="Source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3" fillId="2" borderId="1" pivotButton="0" quotePrefix="0" xfId="0"/>
    <xf numFmtId="49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6" customWidth="1" min="4" max="4"/>
    <col width="52" customWidth="1" min="5" max="5"/>
  </cols>
  <sheetData>
    <row r="1">
      <c r="A1" s="1" t="inlineStr">
        <is>
          <t>Chen Family — 2026 HSA Month-by-Month Eligibility</t>
        </is>
      </c>
    </row>
    <row r="3">
      <c r="A3" s="2" t="inlineStr">
        <is>
          <t>HDHP qualification test (Rev. Proc. 2025-19, 2026 family HDHP thresholds)</t>
        </is>
      </c>
    </row>
    <row r="5">
      <c r="A5" s="3" t="inlineStr">
        <is>
          <t>Item</t>
        </is>
      </c>
      <c r="B5" s="3" t="inlineStr">
        <is>
          <t>2026 Federal limit</t>
        </is>
      </c>
      <c r="C5" s="3" t="inlineStr">
        <is>
          <t>Client plan</t>
        </is>
      </c>
      <c r="D5" s="3" t="inlineStr">
        <is>
          <t>Test</t>
        </is>
      </c>
      <c r="E5" s="3" t="inlineStr">
        <is>
          <t>Result</t>
        </is>
      </c>
    </row>
    <row r="6">
      <c r="A6" s="4" t="inlineStr">
        <is>
          <t>Family minimum deductible</t>
        </is>
      </c>
      <c r="B6" s="5" t="n">
        <v>3400</v>
      </c>
      <c r="C6" s="5" t="n">
        <v>3600</v>
      </c>
      <c r="D6" s="4" t="inlineStr">
        <is>
          <t>Client &gt;= limit</t>
        </is>
      </c>
      <c r="E6" s="4">
        <f>IF(C6&gt;=B6,"PASS","FAIL")</f>
        <v/>
      </c>
    </row>
    <row r="7">
      <c r="A7" s="4" t="inlineStr">
        <is>
          <t>Family maximum out-of-pocket</t>
        </is>
      </c>
      <c r="B7" s="5" t="n">
        <v>17000</v>
      </c>
      <c r="C7" s="5" t="n">
        <v>16500</v>
      </c>
      <c r="D7" s="4" t="inlineStr">
        <is>
          <t>Client &lt;= limit</t>
        </is>
      </c>
      <c r="E7" s="4">
        <f>IF(C7&lt;=B7,"PASS","FAIL")</f>
        <v/>
      </c>
    </row>
    <row r="9">
      <c r="A9" s="2" t="inlineStr">
        <is>
          <t>Monthly HSA eligibility (Pub. 969 — general-purpose FSA is disqualiting coverage)</t>
        </is>
      </c>
    </row>
    <row r="10">
      <c r="A10" s="3" t="inlineStr">
        <is>
          <t>Month</t>
        </is>
      </c>
      <c r="B10" s="3" t="inlineStr">
        <is>
          <t>Family HDHP?</t>
        </is>
      </c>
      <c r="C10" s="3" t="inlineStr">
        <is>
          <t>Disqualifying coverage?</t>
        </is>
      </c>
      <c r="D10" s="3" t="inlineStr">
        <is>
          <t>HSA-eligible?</t>
        </is>
      </c>
      <c r="E10" s="3" t="inlineStr">
        <is>
          <t>Reason</t>
        </is>
      </c>
    </row>
    <row r="11">
      <c r="A11" s="4" t="inlineStr">
        <is>
          <t>January 2026</t>
        </is>
      </c>
      <c r="B11" s="4" t="inlineStr">
        <is>
          <t>Yes</t>
        </is>
      </c>
      <c r="C11" s="4" t="inlineStr">
        <is>
          <t>Yes — spouse general-purpose FSA</t>
        </is>
      </c>
      <c r="D11" s="6" t="inlineStr">
        <is>
          <t>No</t>
        </is>
      </c>
      <c r="E11" s="4" t="inlineStr">
        <is>
          <t>General-purpose FSA coverage disqualifies HSA contributions</t>
        </is>
      </c>
    </row>
    <row r="12">
      <c r="A12" s="4" t="inlineStr">
        <is>
          <t>February 2026</t>
        </is>
      </c>
      <c r="B12" s="4" t="inlineStr">
        <is>
          <t>Yes</t>
        </is>
      </c>
      <c r="C12" s="4" t="inlineStr">
        <is>
          <t>Yes — spouse general-purpose FSA</t>
        </is>
      </c>
      <c r="D12" s="6" t="inlineStr">
        <is>
          <t>No</t>
        </is>
      </c>
      <c r="E12" s="4" t="inlineStr">
        <is>
          <t>General-purpose FSA coverage disqualifies HSA contributions</t>
        </is>
      </c>
    </row>
    <row r="13">
      <c r="A13" s="4" t="inlineStr">
        <is>
          <t>March 2026</t>
        </is>
      </c>
      <c r="B13" s="4" t="inlineStr">
        <is>
          <t>Yes</t>
        </is>
      </c>
      <c r="C13" s="4" t="inlineStr">
        <is>
          <t>Yes — spouse general-purpose FSA</t>
        </is>
      </c>
      <c r="D13" s="6" t="inlineStr">
        <is>
          <t>No</t>
        </is>
      </c>
      <c r="E13" s="4" t="inlineStr">
        <is>
          <t>General-purpose FSA coverage disqualifies HSA contributions</t>
        </is>
      </c>
    </row>
    <row r="14">
      <c r="A14" s="4" t="inlineStr">
        <is>
          <t>April 2026</t>
        </is>
      </c>
      <c r="B14" s="4" t="inlineStr">
        <is>
          <t>Yes</t>
        </is>
      </c>
      <c r="C14" s="4" t="inlineStr">
        <is>
          <t>Yes — spouse general-purpose FSA</t>
        </is>
      </c>
      <c r="D14" s="6" t="inlineStr">
        <is>
          <t>No</t>
        </is>
      </c>
      <c r="E14" s="4" t="inlineStr">
        <is>
          <t>General-purpose FSA coverage disqualifies HSA contributions</t>
        </is>
      </c>
    </row>
    <row r="15">
      <c r="A15" s="4" t="inlineStr">
        <is>
          <t>May 2026</t>
        </is>
      </c>
      <c r="B15" s="4" t="inlineStr">
        <is>
          <t>Yes</t>
        </is>
      </c>
      <c r="C15" s="4" t="inlineStr">
        <is>
          <t>Yes — spouse general-purpose FSA</t>
        </is>
      </c>
      <c r="D15" s="6" t="inlineStr">
        <is>
          <t>No</t>
        </is>
      </c>
      <c r="E15" s="4" t="inlineStr">
        <is>
          <t>General-purpose FSA coverage disqualifies HSA contributions</t>
        </is>
      </c>
    </row>
    <row r="16">
      <c r="A16" s="4" t="inlineStr">
        <is>
          <t>June 2026</t>
        </is>
      </c>
      <c r="B16" s="4" t="inlineStr">
        <is>
          <t>Yes</t>
        </is>
      </c>
      <c r="C16" s="4" t="inlineStr">
        <is>
          <t>Yes — spouse general-purpose FSA</t>
        </is>
      </c>
      <c r="D16" s="6" t="inlineStr">
        <is>
          <t>No</t>
        </is>
      </c>
      <c r="E16" s="4" t="inlineStr">
        <is>
          <t>FSA ends June 30; full month still disqualified</t>
        </is>
      </c>
    </row>
    <row r="17">
      <c r="A17" s="4" t="inlineStr">
        <is>
          <t>July 2026</t>
        </is>
      </c>
      <c r="B17" s="4" t="inlineStr">
        <is>
          <t>Yes</t>
        </is>
      </c>
      <c r="C17" s="4" t="inlineStr">
        <is>
          <t>No</t>
        </is>
      </c>
      <c r="D17" s="7" t="inlineStr">
        <is>
          <t>Yes</t>
        </is>
      </c>
      <c r="E17" s="4" t="inlineStr">
        <is>
          <t>FSA ended; no other disqualifying coverage</t>
        </is>
      </c>
    </row>
    <row r="18">
      <c r="A18" s="4" t="inlineStr">
        <is>
          <t>August 2026</t>
        </is>
      </c>
      <c r="B18" s="4" t="inlineStr">
        <is>
          <t>Yes</t>
        </is>
      </c>
      <c r="C18" s="4" t="inlineStr">
        <is>
          <t>No</t>
        </is>
      </c>
      <c r="D18" s="7" t="inlineStr">
        <is>
          <t>Yes</t>
        </is>
      </c>
      <c r="E18" s="4" t="inlineStr">
        <is>
          <t>No disqualifying coverage</t>
        </is>
      </c>
    </row>
    <row r="19">
      <c r="A19" s="4" t="inlineStr">
        <is>
          <t>September 2026</t>
        </is>
      </c>
      <c r="B19" s="4" t="inlineStr">
        <is>
          <t>Yes</t>
        </is>
      </c>
      <c r="C19" s="4" t="inlineStr">
        <is>
          <t>No</t>
        </is>
      </c>
      <c r="D19" s="7" t="inlineStr">
        <is>
          <t>Yes</t>
        </is>
      </c>
      <c r="E19" s="4" t="inlineStr">
        <is>
          <t>No disqualifying coverage</t>
        </is>
      </c>
    </row>
    <row r="20">
      <c r="A20" s="4" t="inlineStr">
        <is>
          <t>October 2026</t>
        </is>
      </c>
      <c r="B20" s="4" t="inlineStr">
        <is>
          <t>Yes</t>
        </is>
      </c>
      <c r="C20" s="4" t="inlineStr">
        <is>
          <t>No</t>
        </is>
      </c>
      <c r="D20" s="7" t="inlineStr">
        <is>
          <t>Yes</t>
        </is>
      </c>
      <c r="E20" s="4" t="inlineStr">
        <is>
          <t>No disqualifying coverage</t>
        </is>
      </c>
    </row>
    <row r="21">
      <c r="A21" s="4" t="inlineStr">
        <is>
          <t>November 2026</t>
        </is>
      </c>
      <c r="B21" s="4" t="inlineStr">
        <is>
          <t>Yes</t>
        </is>
      </c>
      <c r="C21" s="4" t="inlineStr">
        <is>
          <t>No</t>
        </is>
      </c>
      <c r="D21" s="7" t="inlineStr">
        <is>
          <t>Yes</t>
        </is>
      </c>
      <c r="E21" s="4" t="inlineStr">
        <is>
          <t>No disqualifying coverage</t>
        </is>
      </c>
    </row>
    <row r="22">
      <c r="A22" s="4" t="inlineStr">
        <is>
          <t>December 2026</t>
        </is>
      </c>
      <c r="B22" s="4" t="inlineStr">
        <is>
          <t>Yes</t>
        </is>
      </c>
      <c r="C22" s="4" t="inlineStr">
        <is>
          <t>No</t>
        </is>
      </c>
      <c r="D22" s="7" t="inlineStr">
        <is>
          <t>Yes</t>
        </is>
      </c>
      <c r="E22" s="4" t="inlineStr">
        <is>
          <t>Eligible first day of last month — last-month rule available</t>
        </is>
      </c>
    </row>
    <row r="24">
      <c r="A24" s="8" t="inlineStr">
        <is>
          <t>Total HSA-eligible months</t>
        </is>
      </c>
      <c r="B24" s="4" t="n"/>
      <c r="C24" s="4" t="n"/>
      <c r="D24" s="9">
        <f>COUNTIF(D11:D22,"Yes")</f>
        <v/>
      </c>
      <c r="E24" s="4" t="n"/>
    </row>
  </sheetData>
  <mergeCells count="3">
    <mergeCell ref="A1:E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40" customWidth="1" min="3" max="3"/>
  </cols>
  <sheetData>
    <row r="1">
      <c r="A1" s="1" t="inlineStr">
        <is>
          <t>Chen Family — 2026 HSA Contribution Schedule</t>
        </is>
      </c>
    </row>
    <row r="3">
      <c r="A3" s="2" t="inlineStr">
        <is>
          <t>Inputs (frozen from source_docs/calculation_inputs.csv and Rev. Proc. 2025-19)</t>
        </is>
      </c>
    </row>
    <row r="5">
      <c r="A5" s="10" t="inlineStr">
        <is>
          <t>Input</t>
        </is>
      </c>
      <c r="B5" s="10" t="inlineStr">
        <is>
          <t>Value</t>
        </is>
      </c>
      <c r="C5" s="10" t="inlineStr">
        <is>
          <t>Authority / note</t>
        </is>
      </c>
    </row>
    <row r="6">
      <c r="A6" s="4" t="inlineStr">
        <is>
          <t>2026 family HSA contribution limit</t>
        </is>
      </c>
      <c r="B6" s="5" t="n">
        <v>8750</v>
      </c>
      <c r="C6" s="4" t="inlineStr">
        <is>
          <t>Rev. Proc. 2025-19</t>
        </is>
      </c>
    </row>
    <row r="7">
      <c r="A7" s="4" t="inlineStr">
        <is>
          <t>Age-55 catch-up contribution</t>
        </is>
      </c>
      <c r="B7" s="5" t="n">
        <v>1000</v>
      </c>
      <c r="C7" s="4" t="inlineStr">
        <is>
          <t>IRC 223(b)(3); Lee age 56 at 12/31/2026</t>
        </is>
      </c>
    </row>
    <row r="8">
      <c r="A8" s="4" t="inlineStr">
        <is>
          <t>Eligible months (Jul-Dec 2026)</t>
        </is>
      </c>
      <c r="B8" s="5" t="n">
        <v>6</v>
      </c>
      <c r="C8" s="4" t="inlineStr">
        <is>
          <t>See Eligibility sheet</t>
        </is>
      </c>
    </row>
    <row r="9">
      <c r="A9" s="4" t="inlineStr">
        <is>
          <t>Months in tax year</t>
        </is>
      </c>
      <c r="B9" s="5" t="n">
        <v>12</v>
      </c>
      <c r="C9" s="4" t="inlineStr">
        <is>
          <t>Calendar year</t>
        </is>
      </c>
    </row>
    <row r="10">
      <c r="A10" s="4" t="inlineStr">
        <is>
          <t>Employer HSA contributions for 2026</t>
        </is>
      </c>
      <c r="B10" s="5" t="n">
        <v>2000</v>
      </c>
      <c r="C10" s="4" t="inlineStr">
        <is>
          <t>Counts against annual limit (Pub. 969)</t>
        </is>
      </c>
    </row>
    <row r="12">
      <c r="A12" s="2" t="inlineStr">
        <is>
          <t>Calculations</t>
        </is>
      </c>
    </row>
    <row r="13">
      <c r="A13" s="10" t="inlineStr">
        <is>
          <t>Calculation</t>
        </is>
      </c>
      <c r="B13" s="10" t="inlineStr">
        <is>
          <t>Formula result</t>
        </is>
      </c>
      <c r="C13" s="10" t="inlineStr">
        <is>
          <t>Formula (visible)</t>
        </is>
      </c>
    </row>
    <row r="14">
      <c r="A14" s="4" t="inlineStr">
        <is>
          <t>Full annual HSA limit (family + age-55 catch-up)</t>
        </is>
      </c>
      <c r="B14" s="5">
        <f>B6+B7</f>
        <v/>
      </c>
      <c r="C14" s="4">
        <f> B6 + B7</f>
        <v/>
      </c>
    </row>
    <row r="15">
      <c r="A15" s="4" t="inlineStr">
        <is>
          <t>Prorated contribution (general rule)</t>
        </is>
      </c>
      <c r="B15" s="5">
        <f>B14*B8/B9</f>
        <v/>
      </c>
      <c r="C15" s="4">
        <f> B14 * B8 / B9</f>
        <v/>
      </c>
    </row>
    <row r="16">
      <c r="A16" s="4" t="inlineStr">
        <is>
          <t>Last-month rule contribution (full year)</t>
        </is>
      </c>
      <c r="B16" s="5">
        <f>B14</f>
        <v/>
      </c>
      <c r="C16" s="11" t="inlineStr">
        <is>
          <t>B14  (eligible 12/1/2026)</t>
        </is>
      </c>
    </row>
    <row r="17">
      <c r="A17" s="4" t="inlineStr">
        <is>
          <t>Last-month rule excess over prorated (testing-period exposure)</t>
        </is>
      </c>
      <c r="B17" s="5">
        <f>B16-B15</f>
        <v/>
      </c>
      <c r="C17" s="4">
        <f> B16 - B15</f>
        <v/>
      </c>
    </row>
    <row r="18">
      <c r="A18" s="4" t="inlineStr">
        <is>
          <t>Employer HSA contributions (count against limit)</t>
        </is>
      </c>
      <c r="B18" s="5">
        <f>B10</f>
        <v/>
      </c>
      <c r="C18" s="4">
        <f> B10</f>
        <v/>
      </c>
    </row>
    <row r="19">
      <c r="A19" s="4" t="inlineStr">
        <is>
          <t>Remaining employee funding — prorated method</t>
        </is>
      </c>
      <c r="B19" s="5">
        <f>B15-B10</f>
        <v/>
      </c>
      <c r="C19" s="4">
        <f> B15 - B10</f>
        <v/>
      </c>
    </row>
    <row r="20">
      <c r="A20" s="4" t="inlineStr">
        <is>
          <t>Remaining employee funding — last-month rule</t>
        </is>
      </c>
      <c r="B20" s="5">
        <f>B16-B10</f>
        <v/>
      </c>
      <c r="C20" s="4">
        <f> B16 - B10</f>
        <v/>
      </c>
    </row>
    <row r="22">
      <c r="A22" s="2" t="inlineStr">
        <is>
          <t>Testing-period failure consequences (if eligibility not maintained 12/1/2026–12/31/2027)</t>
        </is>
      </c>
    </row>
    <row r="23">
      <c r="A23" s="3" t="inlineStr">
        <is>
          <t>Consequence</t>
        </is>
      </c>
      <c r="B23" s="3" t="inlineStr">
        <is>
          <t>Amount</t>
        </is>
      </c>
      <c r="C23" s="3" t="inlineStr">
        <is>
          <t>Authority</t>
        </is>
      </c>
    </row>
    <row r="24">
      <c r="A24" s="4" t="inlineStr">
        <is>
          <t>Income inclusion (excess contributed under last-month rule)</t>
        </is>
      </c>
      <c r="B24" s="5">
        <f>B17</f>
        <v/>
      </c>
      <c r="C24" s="4" t="inlineStr">
        <is>
          <t>Pub. 969; Form 8889 (2027)</t>
        </is>
      </c>
    </row>
    <row r="25">
      <c r="A25" s="4" t="inlineStr">
        <is>
          <t>10% additional tax on income inclusion</t>
        </is>
      </c>
      <c r="B25" s="5">
        <f>B17*0.1</f>
        <v/>
      </c>
      <c r="C25" s="4" t="inlineStr">
        <is>
          <t>IRC 223(f)(8); Form 8889 (2027)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62" customWidth="1" min="3" max="3"/>
  </cols>
  <sheetData>
    <row r="1">
      <c r="A1" s="1" t="inlineStr">
        <is>
          <t>Chen Family — HSA Dental Reimbursement Evaluation</t>
        </is>
      </c>
    </row>
    <row r="3" ht="18" customHeight="1">
      <c r="A3" s="3" t="inlineStr">
        <is>
          <t>Item</t>
        </is>
      </c>
      <c r="B3" s="3" t="inlineStr">
        <is>
          <t>Value</t>
        </is>
      </c>
      <c r="C3" s="3" t="inlineStr">
        <is>
          <t>Note</t>
        </is>
      </c>
    </row>
    <row r="4" ht="18" customHeight="1">
      <c r="A4" s="12" t="inlineStr">
        <is>
          <t>Dental expense paid</t>
        </is>
      </c>
      <c r="B4" s="12" t="n">
        <v>3200</v>
      </c>
      <c r="C4" s="12" t="inlineStr">
        <is>
          <t>Paid September 2026 (source_docs/client_facts.md)</t>
        </is>
      </c>
    </row>
    <row r="5" ht="18" customHeight="1">
      <c r="A5" s="12" t="inlineStr">
        <is>
          <t>Date paid</t>
        </is>
      </c>
      <c r="B5" s="12" t="inlineStr">
        <is>
          <t>September 2026</t>
        </is>
      </c>
      <c r="C5" s="12" t="inlineStr">
        <is>
          <t>After HSA established (HSA eligibility began July 2026)</t>
        </is>
      </c>
    </row>
    <row r="6" ht="33" customHeight="1">
      <c r="A6" s="12" t="inlineStr">
        <is>
          <t>HSA established before payment?</t>
        </is>
      </c>
      <c r="B6" s="12" t="inlineStr">
        <is>
          <t>Yes</t>
        </is>
      </c>
      <c r="C6" s="12" t="inlineStr">
        <is>
          <t>Eligibility began July 2026; facts state 'after the HSA was established'</t>
        </is>
      </c>
    </row>
    <row r="7" ht="33" customHeight="1">
      <c r="A7" s="12" t="inlineStr">
        <is>
          <t>Qualified medical expense under IRC 213(d)?</t>
        </is>
      </c>
      <c r="B7" s="12" t="inlineStr">
        <is>
          <t>Yes</t>
        </is>
      </c>
      <c r="C7" s="12" t="inlineStr">
        <is>
          <t>Dental care is a 213(d) qualified medical expense</t>
        </is>
      </c>
    </row>
    <row r="8" ht="18" customHeight="1">
      <c r="A8" s="12" t="inlineStr">
        <is>
          <t>Other reimbursement claimed?</t>
        </is>
      </c>
      <c r="B8" s="12" t="inlineStr">
        <is>
          <t>No</t>
        </is>
      </c>
      <c r="C8" s="12" t="inlineStr">
        <is>
          <t>Client facts: no deduction or other reimbursement claimed</t>
        </is>
      </c>
    </row>
    <row r="9" ht="18" customHeight="1">
      <c r="A9" s="12" t="inlineStr">
        <is>
          <t>Eligible tax-free HSA distribution</t>
        </is>
      </c>
      <c r="B9" s="13">
        <f>B4</f>
        <v/>
      </c>
      <c r="C9" s="12" t="inlineStr">
        <is>
          <t>Formula links to dental expense paid (B4)</t>
        </is>
      </c>
    </row>
    <row r="10" ht="33" customHeight="1">
      <c r="A10" s="12" t="inlineStr">
        <is>
          <t>Records required</t>
        </is>
      </c>
      <c r="B10" s="12" t="inlineStr">
        <is>
          <t>Receipt + proof of payment + no-reimbursement attestation</t>
        </is>
      </c>
      <c r="C10" s="12" t="inlineStr">
        <is>
          <t>Retain to substantiate Form 8889 distribution</t>
        </is>
      </c>
    </row>
    <row r="11" ht="30" customHeight="1">
      <c r="A11" s="14" t="n"/>
    </row>
    <row r="12">
      <c r="A12" s="15" t="inlineStr">
        <is>
          <t>Planning estimate, not a filed tax result. Distribution is reported on Form 8889 for 2026.</t>
        </is>
      </c>
    </row>
  </sheetData>
  <mergeCells count="2">
    <mergeCell ref="A12:C12"/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58" customWidth="1" min="2" max="2"/>
    <col width="60" customWidth="1" min="3" max="3"/>
  </cols>
  <sheetData>
    <row r="1">
      <c r="A1" s="1" t="inlineStr">
        <is>
          <t>Sources &amp; Assumptions</t>
        </is>
      </c>
    </row>
    <row r="3">
      <c r="A3" s="2" t="inlineStr">
        <is>
          <t>Sources (official, current for tax year 2026; accessed 2026-08-24)</t>
        </is>
      </c>
    </row>
    <row r="4" ht="18" customHeight="1">
      <c r="A4" s="3" t="inlineStr">
        <is>
          <t>Source</t>
        </is>
      </c>
      <c r="B4" s="3" t="inlineStr">
        <is>
          <t>Citation</t>
        </is>
      </c>
      <c r="C4" s="3" t="inlineStr">
        <is>
          <t>URL</t>
        </is>
      </c>
    </row>
    <row r="5" ht="48" customHeight="1">
      <c r="A5" s="12" t="inlineStr">
        <is>
          <t>Rev. Proc. 2025-19</t>
        </is>
      </c>
      <c r="B5" s="12" t="inlineStr">
        <is>
          <t>2026 HSA contribution limits &amp; HDHP thresholds (family limit $8,750; family min deductible $3,400; max OOP $17,000)</t>
        </is>
      </c>
      <c r="C5" s="12" t="inlineStr">
        <is>
          <t>https://www.irs.gov/irb/2025-21_IRB</t>
        </is>
      </c>
    </row>
    <row r="6" ht="48" customHeight="1">
      <c r="A6" s="12" t="inlineStr">
        <is>
          <t>IRS Publication 969</t>
        </is>
      </c>
      <c r="B6" s="12" t="inlineStr">
        <is>
          <t>HSA eligibility, monthly testing, last-month rule, FSA disqualification, employer contributions count against limit</t>
        </is>
      </c>
      <c r="C6" s="12" t="inlineStr">
        <is>
          <t>https://www.irs.gov/publications/p969</t>
        </is>
      </c>
    </row>
    <row r="7" ht="33" customHeight="1">
      <c r="A7" s="12" t="inlineStr">
        <is>
          <t>IRS Notice 2026-5</t>
        </is>
      </c>
      <c r="B7" s="12" t="inlineStr">
        <is>
          <t>Review current statutory changes affecting HDHP/HSA eligibility before implementation</t>
        </is>
      </c>
      <c r="C7" s="12" t="inlineStr">
        <is>
          <t>https://www.irs.gov/irb/2026-02_IRB</t>
        </is>
      </c>
    </row>
    <row r="8" ht="33" customHeight="1">
      <c r="A8" s="12" t="inlineStr">
        <is>
          <t>IRC 223</t>
        </is>
      </c>
      <c r="B8" s="12" t="inlineStr">
        <is>
          <t>HSA contribution limits, catch-up, testing-period income inclusion &amp; 10% additional tax</t>
        </is>
      </c>
      <c r="C8" s="12" t="inlineStr">
        <is>
          <t>https://www.law.cornell.edu/uscode/text/26/223</t>
        </is>
      </c>
    </row>
    <row r="9" ht="18" customHeight="1">
      <c r="A9" s="12" t="inlineStr">
        <is>
          <t>Form 8889</t>
        </is>
      </c>
      <c r="B9" s="12" t="inlineStr">
        <is>
          <t>HSA contributions and distributions reporting</t>
        </is>
      </c>
      <c r="C9" s="12" t="inlineStr">
        <is>
          <t>https://www.irs.gov/forms-pubs/about-form-8889</t>
        </is>
      </c>
    </row>
    <row r="10" ht="18" customHeight="1">
      <c r="A10" s="14" t="n"/>
      <c r="B10" s="14" t="n"/>
      <c r="C10" s="14" t="n"/>
    </row>
    <row r="11" ht="18" customHeight="1">
      <c r="A11" s="16" t="inlineStr">
        <is>
          <t>Assumptions</t>
        </is>
      </c>
      <c r="B11" s="14" t="n"/>
      <c r="C11" s="14" t="n"/>
    </row>
    <row r="12" ht="18" customHeight="1">
      <c r="A12" s="3" t="inlineStr">
        <is>
          <t>Assumption</t>
        </is>
      </c>
      <c r="B12" s="3" t="inlineStr">
        <is>
          <t>Basis</t>
        </is>
      </c>
      <c r="C12" s="3" t="inlineStr">
        <is>
          <t>Confirmation still required</t>
        </is>
      </c>
    </row>
    <row r="13" ht="33" customHeight="1">
      <c r="A13" s="12" t="inlineStr">
        <is>
          <t>Lee's plan is a qualified family HDHP for all of 2026</t>
        </is>
      </c>
      <c r="B13" s="12" t="inlineStr">
        <is>
          <t>Client deductible $3,600 &gt;= $3,400 and max OOP $16,500 &lt;= $17,000 (Rev. Proc. 2025-19)</t>
        </is>
      </c>
      <c r="C13" s="12" t="inlineStr">
        <is>
          <t>Plan-document confirmation of HDHP status and figures</t>
        </is>
      </c>
    </row>
    <row r="14" ht="33" customHeight="1">
      <c r="A14" s="12" t="inlineStr">
        <is>
          <t>Spouse's FSA is general-purpose and ends 6/30/2026 with no grace period/carryover</t>
        </is>
      </c>
      <c r="B14" s="12" t="inlineStr">
        <is>
          <t>Client facts</t>
        </is>
      </c>
      <c r="C14" s="12" t="inlineStr">
        <is>
          <t>FSA plan document; confirm no run-out extends disqualifying coverage</t>
        </is>
      </c>
    </row>
    <row r="15" ht="33" customHeight="1">
      <c r="A15" s="12" t="inlineStr">
        <is>
          <t>HSA account established by July 2026</t>
        </is>
      </c>
      <c r="B15" s="12" t="inlineStr">
        <is>
          <t>Client facts state dental paid 'after the HSA was established'</t>
        </is>
      </c>
      <c r="C15" s="12" t="inlineStr">
        <is>
          <t>Custodian account-opening date; HSA (not HRA/FSA)</t>
        </is>
      </c>
    </row>
    <row r="16" ht="48" customHeight="1">
      <c r="A16" s="12" t="inlineStr">
        <is>
          <t>No other disqualifying coverage Jul-Dec 2026 (no Medicare Part A, Tricare, non-HDHP, etc.)</t>
        </is>
      </c>
      <c r="B16" s="12" t="inlineStr">
        <is>
          <t>Client facts</t>
        </is>
      </c>
      <c r="C16" s="12" t="inlineStr">
        <is>
          <t>Coverage statements; Medicare/VA enrollment confirmation</t>
        </is>
      </c>
    </row>
    <row r="17" ht="33" customHeight="1">
      <c r="A17" s="12" t="inlineStr">
        <is>
          <t>Lee is age 56 at 12/31/2026 -&gt; age-55 catch-up applies</t>
        </is>
      </c>
      <c r="B17" s="12" t="inlineStr">
        <is>
          <t>Client facts</t>
        </is>
      </c>
      <c r="C17" s="12" t="inlineStr">
        <is>
          <t>DOB documentation</t>
        </is>
      </c>
    </row>
    <row r="18" ht="33" customHeight="1">
      <c r="A18" s="12" t="inlineStr">
        <is>
          <t>Employer contributions = $2,000 and reported on W-2 Box 12 code W</t>
        </is>
      </c>
      <c r="B18" s="12" t="inlineStr">
        <is>
          <t>Client facts / calculation_inputs.csv</t>
        </is>
      </c>
      <c r="C18" s="12" t="inlineStr">
        <is>
          <t>W-2; payroll-provider confirmation</t>
        </is>
      </c>
    </row>
    <row r="19" ht="33" customHeight="1">
      <c r="A19" s="12" t="inlineStr">
        <is>
          <t>Dental work is a qualifying (non-cosmetic) IRC 213(d) expense</t>
        </is>
      </c>
      <c r="B19" s="12" t="inlineStr">
        <is>
          <t>Client facts ('unreimbursed dental work')</t>
        </is>
      </c>
      <c r="C19" s="12" t="inlineStr">
        <is>
          <t>Dental invoice describing procedure</t>
        </is>
      </c>
    </row>
    <row r="20" ht="33" customHeight="1">
      <c r="A20" s="12" t="inlineStr">
        <is>
          <t>Testing period runs 12/1/2026 through 12/31/2027</t>
        </is>
      </c>
      <c r="B20" s="12" t="inlineStr">
        <is>
          <t>Pub. 969 last-month rule</t>
        </is>
      </c>
      <c r="C20" s="12" t="inlineStr">
        <is>
          <t>Ongoing HDHP coverage maintenance through 2027</t>
        </is>
      </c>
    </row>
    <row r="22">
      <c r="A22" s="2" t="inlineStr">
        <is>
          <t>Open items / non-federal confirmation</t>
        </is>
      </c>
    </row>
    <row r="23" ht="18" customHeight="1">
      <c r="A23" s="3" t="inlineStr">
        <is>
          <t>Item</t>
        </is>
      </c>
      <c r="B23" s="3" t="inlineStr">
        <is>
          <t>Owner</t>
        </is>
      </c>
      <c r="C23" s="3" t="inlineStr">
        <is>
          <t>Why needed</t>
        </is>
      </c>
    </row>
    <row r="24" ht="48" customHeight="1">
      <c r="A24" s="12" t="inlineStr">
        <is>
          <t>State HSA conformity (e.g., CA/NJ do not conform; contributions/earnings may be state-taxable)</t>
        </is>
      </c>
      <c r="B24" s="12" t="inlineStr">
        <is>
          <t>State tax adviser</t>
        </is>
      </c>
      <c r="C24" s="12" t="inlineStr">
        <is>
          <t>State-law HSA treatment varies</t>
        </is>
      </c>
    </row>
    <row r="25" ht="33" customHeight="1">
      <c r="A25" s="12" t="inlineStr">
        <is>
          <t>IRS Notice 2026-5 statutory changes affecting HDHP/HSA eligibility</t>
        </is>
      </c>
      <c r="B25" s="12" t="inlineStr">
        <is>
          <t>CPA / tax adviser</t>
        </is>
      </c>
      <c r="C25" s="12" t="inlineStr">
        <is>
          <t>Refresh authority before implementation</t>
        </is>
      </c>
    </row>
    <row r="26" ht="33" customHeight="1">
      <c r="A26" s="12" t="inlineStr">
        <is>
          <t>Payroll-provider HSA contribution coding and timing</t>
        </is>
      </c>
      <c r="B26" s="12" t="inlineStr">
        <is>
          <t>Payroll provider</t>
        </is>
      </c>
      <c r="C26" s="12" t="inlineStr">
        <is>
          <t>W-2 Box 12 code W accuracy; employer vs employee split</t>
        </is>
      </c>
    </row>
    <row r="27" ht="33" customHeight="1">
      <c r="A27" s="12" t="inlineStr">
        <is>
          <t>Plan-document HDHP qualification for 2026</t>
        </is>
      </c>
      <c r="B27" s="12" t="inlineStr">
        <is>
          <t>Plan administrator</t>
        </is>
      </c>
      <c r="C27" s="12" t="inlineStr">
        <is>
          <t>Confirm deductible/OOP figures and HDHP status</t>
        </is>
      </c>
    </row>
    <row r="29" ht="30" customHeight="1">
      <c r="A29" s="17" t="inlineStr">
        <is>
          <t>This workbook is a planning estimate, not a filed tax result. Calculations use live formulas; do not paste over values.</t>
        </is>
      </c>
    </row>
  </sheetData>
  <mergeCells count="2">
    <mergeCell ref="A1:C1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2026-08-25T00:26:46Z</dcterms:created>
  <dcterms:modified xmlns:dcterms="http://purl.org/dc/terms/" xmlns:xsi="http://www.w3.org/2001/XMLSchema-instance" xsi:type="dcterms:W3CDTF">2026-08-25T00:26:46Z</dcterms:modified>
</cp:coreProperties>
</file>